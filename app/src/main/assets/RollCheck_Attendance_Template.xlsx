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0" autoFilterDateGrouping="1"/>
  </bookViews>
  <sheets>
    <sheet xmlns:r="http://schemas.openxmlformats.org/officeDocument/2006/relationships" name="Attendance" sheetId="1" state="visible" r:id="rId1"/>
  </sheets>
  <definedNames>
    <definedName name="_xlnm.Print_Area" localSheetId="0">'Attendance'!$A$1:$Y$92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charset val="1"/>
      <b val="1"/>
      <color rgb="FFF8FAFC"/>
      <sz val="16"/>
    </font>
    <font>
      <name val="Arial"/>
      <charset val="1"/>
      <b val="1"/>
      <color rgb="FF0B0F19"/>
      <sz val="10"/>
    </font>
    <font>
      <name val="Arial"/>
      <charset val="1"/>
      <b val="1"/>
      <color rgb="FFF8FAFC"/>
      <sz val="10"/>
    </font>
    <font>
      <name val="Arial"/>
      <charset val="1"/>
      <b val="1"/>
      <color rgb="FFF8FAFC"/>
      <sz val="11"/>
    </font>
    <font>
      <name val="Arial"/>
      <charset val="1"/>
      <b val="1"/>
      <color rgb="FF4FACFE"/>
      <sz val="10"/>
    </font>
    <font>
      <name val="Arial"/>
      <charset val="1"/>
      <color rgb="FFF8FAFC"/>
      <sz val="10"/>
    </font>
    <font>
      <name val="Arial"/>
      <charset val="1"/>
      <b val="1"/>
      <color rgb="FF10B981"/>
      <sz val="10"/>
    </font>
    <font>
      <name val="Arial"/>
      <charset val="1"/>
      <b val="1"/>
      <color rgb="FFF8FAFC"/>
      <sz val="9"/>
    </font>
    <font>
      <name val="Arial"/>
      <charset val="1"/>
      <i val="1"/>
      <color rgb="FF94A3B8"/>
      <sz val="10"/>
    </font>
    <font>
      <name val="Arial"/>
      <charset val="1"/>
      <b val="1"/>
      <color rgb="FFEF4444"/>
      <sz val="10"/>
    </font>
    <font>
      <name val="Arial"/>
      <charset val="1"/>
      <b val="1"/>
      <color rgb="FF0B0F19"/>
      <sz val="12"/>
    </font>
    <font>
      <name val="Arial"/>
      <charset val="1"/>
      <color rgb="FF4FACFE"/>
      <sz val="10"/>
    </font>
    <font>
      <name val="Arial"/>
      <b val="1"/>
      <color rgb="FFF8FAFC"/>
      <sz val="10"/>
    </font>
    <font>
      <name val="Arial"/>
      <b val="1"/>
      <color rgb="FF4FACFE"/>
      <sz val="11"/>
    </font>
  </fonts>
  <fills count="11">
    <fill>
      <patternFill/>
    </fill>
    <fill>
      <patternFill patternType="gray125"/>
    </fill>
    <fill>
      <patternFill patternType="solid">
        <fgColor rgb="FF0B0F19"/>
        <bgColor rgb="FF151A2D"/>
      </patternFill>
    </fill>
    <fill>
      <patternFill patternType="solid">
        <fgColor rgb="FF4FACFE"/>
        <bgColor rgb="FF9999FF"/>
      </patternFill>
    </fill>
    <fill>
      <patternFill patternType="solid">
        <fgColor rgb="FFFFC107"/>
        <bgColor rgb="FFFF9900"/>
      </patternFill>
    </fill>
    <fill>
      <patternFill patternType="solid">
        <fgColor rgb="FF2A6496"/>
        <bgColor rgb="FF008080"/>
      </patternFill>
    </fill>
    <fill>
      <patternFill patternType="solid">
        <fgColor rgb="FF1E2A45"/>
        <bgColor rgb="FF1A2035"/>
      </patternFill>
    </fill>
    <fill>
      <patternFill patternType="solid">
        <fgColor rgb="FF151A2D"/>
        <bgColor rgb="FF1A2035"/>
      </patternFill>
    </fill>
    <fill>
      <patternFill patternType="solid">
        <fgColor rgb="FF1A2035"/>
        <bgColor rgb="FF151A2D"/>
      </patternFill>
    </fill>
    <fill>
      <patternFill patternType="solid">
        <fgColor rgb="FF10B981"/>
      </patternFill>
    </fill>
    <fill>
      <patternFill patternType="solid">
        <fgColor rgb="FF151A2D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textRotation="90"/>
    </xf>
    <xf numFmtId="0" fontId="6" fillId="7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/>
    </xf>
    <xf numFmtId="2" fontId="6" fillId="7" borderId="2" applyAlignment="1" pivotButton="0" quotePrefix="0" xfId="0">
      <alignment horizontal="center" vertical="center"/>
    </xf>
    <xf numFmtId="2" fontId="3" fillId="7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center" vertical="center"/>
    </xf>
    <xf numFmtId="2" fontId="6" fillId="8" borderId="2" applyAlignment="1" pivotButton="0" quotePrefix="0" xfId="0">
      <alignment horizontal="center" vertical="center"/>
    </xf>
    <xf numFmtId="2" fontId="3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left" vertical="center"/>
    </xf>
    <xf numFmtId="0" fontId="10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 wrapText="1"/>
    </xf>
    <xf numFmtId="0" fontId="14" fillId="10" borderId="4" applyAlignment="1" pivotButton="0" quotePrefix="0" xfId="0">
      <alignment horizontal="center" vertical="center" textRotation="90"/>
    </xf>
    <xf numFmtId="49" fontId="5" fillId="7" borderId="2" applyAlignment="1" pivotButton="0" quotePrefix="0" xfId="0">
      <alignment horizontal="center" vertical="center"/>
    </xf>
    <xf numFmtId="49" fontId="5" fillId="8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11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10" fillId="8" borderId="2" applyAlignment="1" pivotButton="0" quotePrefix="0" xfId="0">
      <alignment horizontal="center" vertical="center"/>
    </xf>
    <xf numFmtId="2" fontId="6" fillId="7" borderId="2" applyAlignment="1" pivotButton="0" quotePrefix="0" xfId="0">
      <alignment horizontal="center" vertical="center"/>
    </xf>
    <xf numFmtId="2" fontId="3" fillId="7" borderId="2" applyAlignment="1" pivotButton="0" quotePrefix="0" xfId="0">
      <alignment horizontal="center" vertical="center"/>
    </xf>
    <xf numFmtId="2" fontId="6" fillId="8" borderId="2" applyAlignment="1" pivotButton="0" quotePrefix="0" xfId="0">
      <alignment horizontal="center" vertical="center"/>
    </xf>
    <xf numFmtId="2" fontId="3" fillId="8" borderId="2" applyAlignment="1" pivotButton="0" quotePrefix="0" xfId="0">
      <alignment horizontal="center" vertical="center"/>
    </xf>
  </cellXfs>
  <cellStyles count="1">
    <cellStyle name="Normal" xfId="0" builtinId="0"/>
  </cellStyles>
  <dxfs count="4">
    <dxf>
      <font>
        <b val="1"/>
        <color rgb="FFEF4444"/>
      </font>
    </dxf>
    <dxf>
      <font>
        <b val="1"/>
        <color rgb="FF10B981"/>
      </font>
    </dxf>
    <dxf>
      <font>
        <b val="1"/>
        <color rgb="FFFFC107"/>
      </font>
    </dxf>
    <dxf>
      <font>
        <i val="1"/>
        <color rgb="FF94A3B8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CCFFFF"/>
      <rgbColor rgb="FF660066"/>
      <rgbColor rgb="FFFF8080"/>
      <rgbColor rgb="FF2A649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FACFE"/>
      <rgbColor rgb="FF99CC00"/>
      <rgbColor rgb="FFFFC107"/>
      <rgbColor rgb="FFFF9900"/>
      <rgbColor rgb="FFEF4444"/>
      <rgbColor rgb="FF666699"/>
      <rgbColor rgb="FF94A3B8"/>
      <rgbColor rgb="FF1A2035"/>
      <rgbColor rgb="FF10B981"/>
      <rgbColor rgb="FF151A2D"/>
      <rgbColor rgb="FF0B0F19"/>
      <rgbColor rgb="FF993300"/>
      <rgbColor rgb="FF993366"/>
      <rgbColor rgb="FF333399"/>
      <rgbColor rgb="FF1E2A4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4FACFE"/>
    <outlinePr summaryBelow="1" summaryRight="1"/>
    <pageSetUpPr fitToPage="1"/>
  </sheetPr>
  <dimension ref="A1:Y90"/>
  <sheetViews>
    <sheetView tabSelected="1" zoomScaleNormal="100" workbookViewId="0">
      <selection activeCell="A3" sqref="A3"/>
    </sheetView>
  </sheetViews>
  <sheetFormatPr baseColWidth="8" defaultColWidth="8.6640625" defaultRowHeight="14.25"/>
  <cols>
    <col width="16" customWidth="1" style="26" min="1" max="1"/>
    <col width="28.3984375" customWidth="1" style="26" min="2" max="2"/>
    <col width="10" customWidth="1" style="26" min="3" max="3"/>
    <col width="11" customWidth="1" style="26" min="4" max="4"/>
    <col width="14" customWidth="1" style="26" min="5" max="5"/>
    <col width="4" customWidth="1" style="26" min="6" max="25"/>
  </cols>
  <sheetData>
    <row r="1" ht="34.5" customHeight="1" s="26">
      <c r="A1" s="25" t="inlineStr">
        <is>
          <t>RollCheck</t>
        </is>
      </c>
      <c r="F1" s="22" t="inlineStr">
        <is>
          <t>Mon</t>
        </is>
      </c>
      <c r="G1" s="22" t="inlineStr">
        <is>
          <t>Tue</t>
        </is>
      </c>
      <c r="H1" s="22" t="inlineStr">
        <is>
          <t>Wed</t>
        </is>
      </c>
      <c r="I1" s="22" t="inlineStr">
        <is>
          <t>Thu</t>
        </is>
      </c>
      <c r="J1" s="22" t="inlineStr">
        <is>
          <t>Fri</t>
        </is>
      </c>
      <c r="K1" s="22" t="inlineStr">
        <is>
          <t>Mon</t>
        </is>
      </c>
      <c r="L1" s="22" t="inlineStr">
        <is>
          <t>Tue</t>
        </is>
      </c>
      <c r="M1" s="22" t="inlineStr">
        <is>
          <t>Wed</t>
        </is>
      </c>
      <c r="N1" s="22" t="inlineStr">
        <is>
          <t>Thu</t>
        </is>
      </c>
      <c r="O1" s="22" t="inlineStr">
        <is>
          <t>Fri</t>
        </is>
      </c>
      <c r="P1" s="22" t="inlineStr">
        <is>
          <t>Mon</t>
        </is>
      </c>
      <c r="Q1" s="22" t="inlineStr">
        <is>
          <t>Tue</t>
        </is>
      </c>
      <c r="R1" s="22" t="inlineStr">
        <is>
          <t>Wed</t>
        </is>
      </c>
      <c r="S1" s="22" t="inlineStr">
        <is>
          <t>Thu</t>
        </is>
      </c>
      <c r="T1" s="22" t="inlineStr">
        <is>
          <t>Fri</t>
        </is>
      </c>
      <c r="U1" s="22" t="inlineStr">
        <is>
          <t>Tue</t>
        </is>
      </c>
      <c r="V1" s="22" t="inlineStr">
        <is>
          <t>Wed</t>
        </is>
      </c>
      <c r="W1" s="22" t="inlineStr">
        <is>
          <t>Thu</t>
        </is>
      </c>
      <c r="X1" s="22" t="inlineStr">
        <is>
          <t>Fri</t>
        </is>
      </c>
      <c r="Y1" s="22" t="inlineStr">
        <is>
          <t>Mon</t>
        </is>
      </c>
    </row>
    <row r="2" ht="109.5" customHeight="1" s="26">
      <c r="A2" s="1" t="inlineStr">
        <is>
          <t>Student ID</t>
        </is>
      </c>
      <c r="B2" s="1" t="inlineStr">
        <is>
          <t>Student Name</t>
        </is>
      </c>
      <c r="C2" s="2" t="inlineStr">
        <is>
          <t>Inactive
Flag</t>
        </is>
      </c>
      <c r="D2" s="3" t="inlineStr">
        <is>
          <t>Threshold (%)</t>
        </is>
      </c>
      <c r="E2" s="21" t="inlineStr">
        <is>
          <t>Attendance
(%)</t>
        </is>
      </c>
      <c r="F2" s="4" t="inlineStr">
        <is>
          <t>05-01-2026</t>
        </is>
      </c>
      <c r="G2" s="4" t="inlineStr">
        <is>
          <t>06-01-2026</t>
        </is>
      </c>
      <c r="H2" s="4" t="inlineStr">
        <is>
          <t>07-01-2026</t>
        </is>
      </c>
      <c r="I2" s="4" t="inlineStr">
        <is>
          <t>08-01-2026</t>
        </is>
      </c>
      <c r="J2" s="4" t="inlineStr">
        <is>
          <t>09-01-2026</t>
        </is>
      </c>
      <c r="K2" s="4" t="inlineStr">
        <is>
          <t>12-01-2026</t>
        </is>
      </c>
      <c r="L2" s="4" t="inlineStr">
        <is>
          <t>13-01-2026</t>
        </is>
      </c>
      <c r="M2" s="4" t="inlineStr">
        <is>
          <t>14-01-2026</t>
        </is>
      </c>
      <c r="N2" s="4" t="inlineStr">
        <is>
          <t>15-01-2026</t>
        </is>
      </c>
      <c r="O2" s="4" t="inlineStr">
        <is>
          <t>16-01-2026</t>
        </is>
      </c>
      <c r="P2" s="4" t="inlineStr">
        <is>
          <t>19-01-2026</t>
        </is>
      </c>
      <c r="Q2" s="4" t="inlineStr">
        <is>
          <t>20-01-2026</t>
        </is>
      </c>
      <c r="R2" s="4" t="inlineStr">
        <is>
          <t>21-01-2026</t>
        </is>
      </c>
      <c r="S2" s="4" t="inlineStr">
        <is>
          <t>22-01-2026</t>
        </is>
      </c>
      <c r="T2" s="4" t="inlineStr">
        <is>
          <t>23-01-2026</t>
        </is>
      </c>
      <c r="U2" s="4" t="inlineStr">
        <is>
          <t>27-01-2026</t>
        </is>
      </c>
      <c r="V2" s="4" t="inlineStr">
        <is>
          <t>28-01-2026</t>
        </is>
      </c>
      <c r="W2" s="4" t="inlineStr">
        <is>
          <t>29-01-2026</t>
        </is>
      </c>
      <c r="X2" s="4" t="inlineStr">
        <is>
          <t>30-01-2026</t>
        </is>
      </c>
      <c r="Y2" s="4" t="inlineStr">
        <is>
          <t>02-02-2026</t>
        </is>
      </c>
    </row>
    <row r="3" ht="18" customHeight="1" s="26">
      <c r="A3" s="23" t="inlineStr">
        <is>
          <t>BT24CSE001</t>
        </is>
      </c>
      <c r="B3" s="5" t="inlineStr">
        <is>
          <t>Neha Sharma</t>
        </is>
      </c>
      <c r="C3" s="6" t="n">
        <v>0</v>
      </c>
      <c r="D3" s="30" t="n">
        <v>75</v>
      </c>
      <c r="E3" s="31">
        <f>IF(C3=1,"N/A",IFERROR(ROUND(SUM(F3:XFD3)/SUMPRODUCT((F3:XFD3&lt;&gt;"")*IFERROR(VALUE(MID(F$2:XFD$2,FIND("(c",F$2:XFD$2)+2,2)),1))*100,2),0))</f>
        <v/>
      </c>
      <c r="F3" s="6" t="n">
        <v>1</v>
      </c>
      <c r="G3" s="6" t="n">
        <v>1</v>
      </c>
      <c r="H3" s="6" t="n">
        <v>1</v>
      </c>
      <c r="I3" s="6" t="n">
        <v>1</v>
      </c>
      <c r="J3" s="6" t="n">
        <v>1</v>
      </c>
      <c r="K3" s="6" t="n">
        <v>1</v>
      </c>
      <c r="L3" s="6" t="n">
        <v>1</v>
      </c>
      <c r="M3" s="6" t="n">
        <v>1</v>
      </c>
      <c r="N3" s="16" t="n">
        <v>0</v>
      </c>
      <c r="O3" s="16" t="n">
        <v>0</v>
      </c>
      <c r="P3" s="6" t="n">
        <v>1</v>
      </c>
      <c r="Q3" s="6" t="n">
        <v>1</v>
      </c>
      <c r="R3" s="6" t="n">
        <v>1</v>
      </c>
      <c r="S3" s="16" t="n">
        <v>0</v>
      </c>
      <c r="T3" s="16" t="n">
        <v>0</v>
      </c>
      <c r="U3" s="6" t="n">
        <v>1</v>
      </c>
      <c r="V3" s="6" t="n">
        <v>1</v>
      </c>
      <c r="W3" s="6" t="n">
        <v>1</v>
      </c>
      <c r="X3" s="6" t="n">
        <v>1</v>
      </c>
      <c r="Y3" s="6" t="n">
        <v>1</v>
      </c>
    </row>
    <row r="4" ht="18" customHeight="1" s="26">
      <c r="A4" s="24" t="inlineStr">
        <is>
          <t>BT24CSE002</t>
        </is>
      </c>
      <c r="B4" s="10" t="inlineStr">
        <is>
          <t>Simran Shah</t>
        </is>
      </c>
      <c r="C4" s="11" t="n">
        <v>0</v>
      </c>
      <c r="D4" s="32" t="n">
        <v>75</v>
      </c>
      <c r="E4" s="33">
        <f>IF(C4=1,"N/A",IFERROR(ROUND(SUM(F4:XFD4)/SUMPRODUCT((F4:XFD4&lt;&gt;"")*IFERROR(VALUE(MID(F$2:XFD$2,FIND("(c",F$2:XFD$2)+2,2)),1))*100,2),0))</f>
        <v/>
      </c>
      <c r="F4" s="11" t="n">
        <v>1</v>
      </c>
      <c r="G4" s="11" t="n">
        <v>1</v>
      </c>
      <c r="H4" s="11" t="n">
        <v>1</v>
      </c>
      <c r="I4" s="11" t="n">
        <v>1</v>
      </c>
      <c r="J4" s="11" t="n">
        <v>1</v>
      </c>
      <c r="K4" s="11" t="n">
        <v>1</v>
      </c>
      <c r="L4" s="29" t="n">
        <v>0</v>
      </c>
      <c r="M4" s="29" t="n">
        <v>0</v>
      </c>
      <c r="N4" s="29" t="n">
        <v>0</v>
      </c>
      <c r="O4" s="11" t="n">
        <v>1</v>
      </c>
      <c r="P4" s="11" t="n">
        <v>1</v>
      </c>
      <c r="Q4" s="29" t="n">
        <v>0</v>
      </c>
      <c r="R4" s="29" t="n">
        <v>0</v>
      </c>
      <c r="S4" s="11" t="n">
        <v>1</v>
      </c>
      <c r="T4" s="11" t="n">
        <v>1</v>
      </c>
      <c r="U4" s="11" t="n">
        <v>1</v>
      </c>
      <c r="V4" s="11" t="n">
        <v>1</v>
      </c>
      <c r="W4" s="11" t="n">
        <v>1</v>
      </c>
      <c r="X4" s="11" t="n">
        <v>1</v>
      </c>
      <c r="Y4" s="11" t="n">
        <v>1</v>
      </c>
    </row>
    <row r="5" ht="18" customHeight="1" s="26">
      <c r="A5" s="23" t="inlineStr">
        <is>
          <t>BT24CSE003</t>
        </is>
      </c>
      <c r="B5" s="5" t="inlineStr">
        <is>
          <t>Tanmay Verma</t>
        </is>
      </c>
      <c r="C5" s="6" t="n">
        <v>0</v>
      </c>
      <c r="D5" s="30" t="n">
        <v>75</v>
      </c>
      <c r="E5" s="31">
        <f>IF(C5=1,"N/A",IFERROR(ROUND(SUM(F5:XFD5)/SUMPRODUCT((F5:XFD5&lt;&gt;"")*IFERROR(VALUE(MID(F$2:XFD$2,FIND("(c",F$2:XFD$2)+2,2)),1))*100,2),0))</f>
        <v/>
      </c>
      <c r="F5" s="6" t="n">
        <v>1</v>
      </c>
      <c r="G5" s="6" t="n">
        <v>1</v>
      </c>
      <c r="H5" s="16" t="n">
        <v>0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16" t="n">
        <v>0</v>
      </c>
      <c r="P5" s="6" t="n">
        <v>1</v>
      </c>
      <c r="Q5" s="6" t="n">
        <v>1</v>
      </c>
      <c r="R5" s="6" t="n">
        <v>1</v>
      </c>
      <c r="S5" s="6" t="n">
        <v>1</v>
      </c>
      <c r="T5" s="6" t="n">
        <v>1</v>
      </c>
      <c r="U5" s="6" t="n">
        <v>1</v>
      </c>
      <c r="V5" s="6" t="n">
        <v>1</v>
      </c>
      <c r="W5" s="6" t="n">
        <v>1</v>
      </c>
      <c r="X5" s="6" t="n">
        <v>1</v>
      </c>
      <c r="Y5" s="6" t="n">
        <v>1</v>
      </c>
    </row>
    <row r="6" ht="18" customHeight="1" s="26">
      <c r="A6" s="24" t="inlineStr">
        <is>
          <t>BT24CSE004</t>
        </is>
      </c>
      <c r="B6" s="10" t="inlineStr">
        <is>
          <t>Pooja Pandey</t>
        </is>
      </c>
      <c r="C6" s="11" t="n">
        <v>0</v>
      </c>
      <c r="D6" s="32" t="n">
        <v>75</v>
      </c>
      <c r="E6" s="33">
        <f>IF(C6=1,"N/A",IFERROR(ROUND(SUM(F6:XFD6)/SUMPRODUCT((F6:XFD6&lt;&gt;"")*IFERROR(VALUE(MID(F$2:XFD$2,FIND("(c",F$2:XFD$2)+2,2)),1))*100,2),0))</f>
        <v/>
      </c>
      <c r="F6" s="11" t="n">
        <v>1</v>
      </c>
      <c r="G6" s="11" t="n">
        <v>1</v>
      </c>
      <c r="H6" s="29" t="n">
        <v>0</v>
      </c>
      <c r="I6" s="29" t="n">
        <v>0</v>
      </c>
      <c r="J6" s="11" t="n">
        <v>1</v>
      </c>
      <c r="K6" s="11" t="n">
        <v>1</v>
      </c>
      <c r="L6" s="11" t="n">
        <v>1</v>
      </c>
      <c r="M6" s="11" t="n">
        <v>1</v>
      </c>
      <c r="N6" s="11" t="n">
        <v>1</v>
      </c>
      <c r="O6" s="29" t="n">
        <v>0</v>
      </c>
      <c r="P6" s="11" t="n">
        <v>1</v>
      </c>
      <c r="Q6" s="11" t="n">
        <v>1</v>
      </c>
      <c r="R6" s="11" t="n">
        <v>1</v>
      </c>
      <c r="S6" s="29" t="n">
        <v>0</v>
      </c>
      <c r="T6" s="11" t="n">
        <v>1</v>
      </c>
      <c r="U6" s="11" t="n">
        <v>1</v>
      </c>
      <c r="V6" s="11" t="n">
        <v>1</v>
      </c>
      <c r="W6" s="11" t="n">
        <v>1</v>
      </c>
      <c r="X6" s="11" t="n">
        <v>1</v>
      </c>
      <c r="Y6" s="11" t="n">
        <v>1</v>
      </c>
    </row>
    <row r="7" ht="18" customHeight="1" s="26">
      <c r="A7" s="23" t="inlineStr">
        <is>
          <t>BT24CSE005</t>
        </is>
      </c>
      <c r="B7" s="5" t="inlineStr">
        <is>
          <t>Dinesh Singh</t>
        </is>
      </c>
      <c r="C7" s="6" t="n">
        <v>0</v>
      </c>
      <c r="D7" s="30" t="n">
        <v>75</v>
      </c>
      <c r="E7" s="31">
        <f>IF(C7=1,"N/A",IFERROR(ROUND(SUM(F7:XFD7)/SUMPRODUCT((F7:XFD7&lt;&gt;"")*IFERROR(VALUE(MID(F$2:XFD$2,FIND("(c",F$2:XFD$2)+2,2)),1))*100,2),0))</f>
        <v/>
      </c>
      <c r="F7" s="6" t="n">
        <v>1</v>
      </c>
      <c r="G7" s="16" t="n">
        <v>0</v>
      </c>
      <c r="H7" s="6" t="n">
        <v>1</v>
      </c>
      <c r="I7" s="6" t="n">
        <v>1</v>
      </c>
      <c r="J7" s="6" t="n">
        <v>1</v>
      </c>
      <c r="K7" s="16" t="n">
        <v>0</v>
      </c>
      <c r="L7" s="6" t="n">
        <v>1</v>
      </c>
      <c r="M7" s="6" t="n">
        <v>1</v>
      </c>
      <c r="N7" s="6" t="n">
        <v>1</v>
      </c>
      <c r="O7" s="6" t="n">
        <v>1</v>
      </c>
      <c r="P7" s="6" t="n">
        <v>1</v>
      </c>
      <c r="Q7" s="6" t="n">
        <v>1</v>
      </c>
      <c r="R7" s="16" t="n">
        <v>0</v>
      </c>
      <c r="S7" s="6" t="n">
        <v>1</v>
      </c>
      <c r="T7" s="16" t="n">
        <v>0</v>
      </c>
      <c r="U7" s="6" t="n">
        <v>1</v>
      </c>
      <c r="V7" s="6" t="n">
        <v>1</v>
      </c>
      <c r="W7" s="16" t="n">
        <v>0</v>
      </c>
      <c r="X7" s="16" t="n">
        <v>0</v>
      </c>
      <c r="Y7" s="16" t="n">
        <v>0</v>
      </c>
    </row>
    <row r="8" ht="18" customHeight="1" s="26">
      <c r="A8" s="24" t="inlineStr">
        <is>
          <t>BT24CSE006</t>
        </is>
      </c>
      <c r="B8" s="10" t="inlineStr">
        <is>
          <t>Geeta Patel</t>
        </is>
      </c>
      <c r="C8" s="11" t="n">
        <v>0</v>
      </c>
      <c r="D8" s="32" t="n">
        <v>75</v>
      </c>
      <c r="E8" s="33">
        <f>IF(C8=1,"N/A",IFERROR(ROUND(SUM(F8:XFD8)/SUMPRODUCT((F8:XFD8&lt;&gt;"")*IFERROR(VALUE(MID(F$2:XFD$2,FIND("(c",F$2:XFD$2)+2,2)),1))*100,2),0))</f>
        <v/>
      </c>
      <c r="F8" s="29" t="n">
        <v>0</v>
      </c>
      <c r="G8" s="29" t="n">
        <v>0</v>
      </c>
      <c r="H8" s="11" t="n">
        <v>1</v>
      </c>
      <c r="I8" s="11" t="n">
        <v>1</v>
      </c>
      <c r="J8" s="11" t="n">
        <v>1</v>
      </c>
      <c r="K8" s="11" t="n">
        <v>1</v>
      </c>
      <c r="L8" s="11" t="n">
        <v>1</v>
      </c>
      <c r="M8" s="11" t="n">
        <v>1</v>
      </c>
      <c r="N8" s="29" t="n">
        <v>0</v>
      </c>
      <c r="O8" s="11" t="n">
        <v>1</v>
      </c>
      <c r="P8" s="11" t="n">
        <v>1</v>
      </c>
      <c r="Q8" s="11" t="n">
        <v>1</v>
      </c>
      <c r="R8" s="11" t="n">
        <v>1</v>
      </c>
      <c r="S8" s="29" t="n">
        <v>0</v>
      </c>
      <c r="T8" s="29" t="n">
        <v>0</v>
      </c>
      <c r="U8" s="11" t="n">
        <v>1</v>
      </c>
      <c r="V8" s="11" t="n">
        <v>1</v>
      </c>
      <c r="W8" s="11" t="n">
        <v>1</v>
      </c>
      <c r="X8" s="11" t="n">
        <v>1</v>
      </c>
      <c r="Y8" s="29" t="n">
        <v>0</v>
      </c>
    </row>
    <row r="9" ht="18" customHeight="1" s="26">
      <c r="A9" s="23" t="inlineStr">
        <is>
          <t>BT24CSE007</t>
        </is>
      </c>
      <c r="B9" s="5" t="inlineStr">
        <is>
          <t>Vihaan Singh</t>
        </is>
      </c>
      <c r="C9" s="6" t="n">
        <v>0</v>
      </c>
      <c r="D9" s="30" t="n">
        <v>75</v>
      </c>
      <c r="E9" s="31">
        <f>IF(C9=1,"N/A",IFERROR(ROUND(SUM(F9:XFD9)/SUMPRODUCT((F9:XFD9&lt;&gt;"")*IFERROR(VALUE(MID(F$2:XFD$2,FIND("(c",F$2:XFD$2)+2,2)),1))*100,2),0))</f>
        <v/>
      </c>
      <c r="F9" s="6" t="n">
        <v>1</v>
      </c>
      <c r="G9" s="6" t="n">
        <v>1</v>
      </c>
      <c r="H9" s="6" t="n">
        <v>1</v>
      </c>
      <c r="I9" s="6" t="n">
        <v>1</v>
      </c>
      <c r="J9" s="6" t="n">
        <v>1</v>
      </c>
      <c r="K9" s="6" t="n">
        <v>1</v>
      </c>
      <c r="L9" s="16" t="n">
        <v>0</v>
      </c>
      <c r="M9" s="6" t="n">
        <v>1</v>
      </c>
      <c r="N9" s="16" t="n">
        <v>0</v>
      </c>
      <c r="O9" s="6" t="n">
        <v>1</v>
      </c>
      <c r="P9" s="6" t="n">
        <v>1</v>
      </c>
      <c r="Q9" s="6" t="n">
        <v>1</v>
      </c>
      <c r="R9" s="6" t="n">
        <v>1</v>
      </c>
      <c r="S9" s="6" t="n">
        <v>1</v>
      </c>
      <c r="T9" s="6" t="n">
        <v>1</v>
      </c>
      <c r="U9" s="16" t="n">
        <v>0</v>
      </c>
      <c r="V9" s="6" t="n">
        <v>1</v>
      </c>
      <c r="W9" s="6" t="n">
        <v>1</v>
      </c>
      <c r="X9" s="6" t="n">
        <v>1</v>
      </c>
      <c r="Y9" s="6" t="n">
        <v>1</v>
      </c>
    </row>
    <row r="10" ht="18" customHeight="1" s="26">
      <c r="A10" s="24" t="inlineStr">
        <is>
          <t>BT24CSE008</t>
        </is>
      </c>
      <c r="B10" s="10" t="inlineStr">
        <is>
          <t>Varun Shah</t>
        </is>
      </c>
      <c r="C10" s="11" t="n">
        <v>0</v>
      </c>
      <c r="D10" s="32" t="n">
        <v>75</v>
      </c>
      <c r="E10" s="33">
        <f>IF(C10=1,"N/A",IFERROR(ROUND(SUM(F10:XFD10)/SUMPRODUCT((F10:XFD10&lt;&gt;"")*IFERROR(VALUE(MID(F$2:XFD$2,FIND("(c",F$2:XFD$2)+2,2)),1))*100,2),0))</f>
        <v/>
      </c>
      <c r="F10" s="11" t="n">
        <v>1</v>
      </c>
      <c r="G10" s="11" t="n">
        <v>1</v>
      </c>
      <c r="H10" s="29" t="n">
        <v>0</v>
      </c>
      <c r="I10" s="11" t="n">
        <v>1</v>
      </c>
      <c r="J10" s="11" t="n">
        <v>1</v>
      </c>
      <c r="K10" s="11" t="n">
        <v>1</v>
      </c>
      <c r="L10" s="11" t="n">
        <v>1</v>
      </c>
      <c r="M10" s="11" t="n">
        <v>1</v>
      </c>
      <c r="N10" s="11" t="n">
        <v>1</v>
      </c>
      <c r="O10" s="11" t="n">
        <v>1</v>
      </c>
      <c r="P10" s="11" t="n">
        <v>1</v>
      </c>
      <c r="Q10" s="11" t="n">
        <v>1</v>
      </c>
      <c r="R10" s="11" t="n">
        <v>1</v>
      </c>
      <c r="S10" s="29" t="n">
        <v>0</v>
      </c>
      <c r="T10" s="29" t="n">
        <v>0</v>
      </c>
      <c r="U10" s="11" t="n">
        <v>1</v>
      </c>
      <c r="V10" s="11" t="n">
        <v>1</v>
      </c>
      <c r="W10" s="11" t="n">
        <v>1</v>
      </c>
      <c r="X10" s="29" t="n">
        <v>0</v>
      </c>
      <c r="Y10" s="29" t="n">
        <v>0</v>
      </c>
    </row>
    <row r="11" ht="18" customHeight="1" s="26">
      <c r="A11" s="23" t="inlineStr">
        <is>
          <t>BT24CSE009</t>
        </is>
      </c>
      <c r="B11" s="5" t="inlineStr">
        <is>
          <t>Vijay Deshpande</t>
        </is>
      </c>
      <c r="C11" s="6" t="n">
        <v>0</v>
      </c>
      <c r="D11" s="30" t="n">
        <v>75</v>
      </c>
      <c r="E11" s="31">
        <f>IF(C11=1,"N/A",IFERROR(ROUND(SUM(F11:XFD11)/SUMPRODUCT((F11:XFD11&lt;&gt;"")*IFERROR(VALUE(MID(F$2:XFD$2,FIND("(c",F$2:XFD$2)+2,2)),1))*100,2),0))</f>
        <v/>
      </c>
      <c r="F11" s="16" t="n">
        <v>0</v>
      </c>
      <c r="G11" s="6" t="n">
        <v>1</v>
      </c>
      <c r="H11" s="6" t="n">
        <v>1</v>
      </c>
      <c r="I11" s="16" t="n">
        <v>0</v>
      </c>
      <c r="J11" s="6" t="n">
        <v>1</v>
      </c>
      <c r="K11" s="6" t="n">
        <v>1</v>
      </c>
      <c r="L11" s="16" t="n">
        <v>0</v>
      </c>
      <c r="M11" s="6" t="n">
        <v>1</v>
      </c>
      <c r="N11" s="6" t="n">
        <v>1</v>
      </c>
      <c r="O11" s="16" t="n">
        <v>0</v>
      </c>
      <c r="P11" s="6" t="n">
        <v>1</v>
      </c>
      <c r="Q11" s="6" t="n">
        <v>1</v>
      </c>
      <c r="R11" s="16" t="n">
        <v>0</v>
      </c>
      <c r="S11" s="6" t="n">
        <v>1</v>
      </c>
      <c r="T11" s="6" t="n">
        <v>1</v>
      </c>
      <c r="U11" s="6" t="n">
        <v>1</v>
      </c>
      <c r="V11" s="6" t="n">
        <v>1</v>
      </c>
      <c r="W11" s="6" t="n">
        <v>1</v>
      </c>
      <c r="X11" s="6" t="n">
        <v>1</v>
      </c>
      <c r="Y11" s="6" t="n">
        <v>1</v>
      </c>
    </row>
    <row r="12" ht="18" customHeight="1" s="26">
      <c r="A12" s="24" t="inlineStr">
        <is>
          <t>BT24CSE010</t>
        </is>
      </c>
      <c r="B12" s="10" t="inlineStr">
        <is>
          <t>Vihaan Shinde</t>
        </is>
      </c>
      <c r="C12" s="11" t="n">
        <v>0</v>
      </c>
      <c r="D12" s="32" t="n">
        <v>75</v>
      </c>
      <c r="E12" s="33">
        <f>IF(C12=1,"N/A",IFERROR(ROUND(SUM(F12:XFD12)/SUMPRODUCT((F12:XFD12&lt;&gt;"")*IFERROR(VALUE(MID(F$2:XFD$2,FIND("(c",F$2:XFD$2)+2,2)),1))*100,2),0))</f>
        <v/>
      </c>
      <c r="F12" s="11" t="n">
        <v>1</v>
      </c>
      <c r="G12" s="11" t="n">
        <v>1</v>
      </c>
      <c r="H12" s="11" t="n">
        <v>1</v>
      </c>
      <c r="I12" s="11" t="n">
        <v>1</v>
      </c>
      <c r="J12" s="29" t="n">
        <v>0</v>
      </c>
      <c r="K12" s="29" t="n">
        <v>0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  <c r="W12" s="11" t="n">
        <v>1</v>
      </c>
      <c r="X12" s="29" t="n">
        <v>0</v>
      </c>
      <c r="Y12" s="29" t="n">
        <v>0</v>
      </c>
    </row>
    <row r="13" ht="18" customHeight="1" s="26">
      <c r="A13" s="23" t="inlineStr">
        <is>
          <t>BT24CSE011</t>
        </is>
      </c>
      <c r="B13" s="5" t="inlineStr">
        <is>
          <t>Akash Dubey</t>
        </is>
      </c>
      <c r="C13" s="6" t="n">
        <v>0</v>
      </c>
      <c r="D13" s="30" t="n">
        <v>75</v>
      </c>
      <c r="E13" s="31">
        <f>IF(C13=1,"N/A",IFERROR(ROUND(SUM(F13:XFD13)/SUMPRODUCT((F13:XFD13&lt;&gt;"")*IFERROR(VALUE(MID(F$2:XFD$2,FIND("(c",F$2:XFD$2)+2,2)),1))*100,2),0))</f>
        <v/>
      </c>
      <c r="F13" s="6" t="n">
        <v>1</v>
      </c>
      <c r="G13" s="16" t="n">
        <v>0</v>
      </c>
      <c r="H13" s="6" t="n">
        <v>1</v>
      </c>
      <c r="I13" s="6" t="n">
        <v>1</v>
      </c>
      <c r="J13" s="6" t="n">
        <v>1</v>
      </c>
      <c r="K13" s="6" t="n">
        <v>1</v>
      </c>
      <c r="L13" s="16" t="n">
        <v>0</v>
      </c>
      <c r="M13" s="6" t="n">
        <v>1</v>
      </c>
      <c r="N13" s="16" t="n">
        <v>0</v>
      </c>
      <c r="O13" s="16" t="n">
        <v>0</v>
      </c>
      <c r="P13" s="6" t="n">
        <v>1</v>
      </c>
      <c r="Q13" s="6" t="n">
        <v>1</v>
      </c>
      <c r="R13" s="6" t="n">
        <v>1</v>
      </c>
      <c r="S13" s="6" t="n">
        <v>1</v>
      </c>
      <c r="T13" s="16" t="n">
        <v>0</v>
      </c>
      <c r="U13" s="6" t="n">
        <v>1</v>
      </c>
      <c r="V13" s="6" t="n">
        <v>1</v>
      </c>
      <c r="W13" s="6" t="n">
        <v>1</v>
      </c>
      <c r="X13" s="16" t="n">
        <v>0</v>
      </c>
      <c r="Y13" s="16" t="n">
        <v>0</v>
      </c>
    </row>
    <row r="14" ht="18" customHeight="1" s="26">
      <c r="A14" s="24" t="inlineStr">
        <is>
          <t>BT24CSE012</t>
        </is>
      </c>
      <c r="B14" s="10" t="inlineStr">
        <is>
          <t>Dinesh Jadhav</t>
        </is>
      </c>
      <c r="C14" s="11" t="n">
        <v>0</v>
      </c>
      <c r="D14" s="32" t="n">
        <v>75</v>
      </c>
      <c r="E14" s="33">
        <f>IF(C14=1,"N/A",IFERROR(ROUND(SUM(F14:XFD14)/SUMPRODUCT((F14:XFD14&lt;&gt;"")*IFERROR(VALUE(MID(F$2:XFD$2,FIND("(c",F$2:XFD$2)+2,2)),1))*100,2),0))</f>
        <v/>
      </c>
      <c r="F14" s="29" t="n">
        <v>0</v>
      </c>
      <c r="G14" s="29" t="n">
        <v>0</v>
      </c>
      <c r="H14" s="29" t="n">
        <v>0</v>
      </c>
      <c r="I14" s="11" t="n">
        <v>1</v>
      </c>
      <c r="J14" s="11" t="n">
        <v>1</v>
      </c>
      <c r="K14" s="11" t="n">
        <v>1</v>
      </c>
      <c r="L14" s="29" t="n">
        <v>0</v>
      </c>
      <c r="M14" s="29" t="n">
        <v>0</v>
      </c>
      <c r="N14" s="29" t="n">
        <v>0</v>
      </c>
      <c r="O14" s="29" t="n">
        <v>0</v>
      </c>
      <c r="P14" s="11" t="n">
        <v>1</v>
      </c>
      <c r="Q14" s="11" t="n">
        <v>1</v>
      </c>
      <c r="R14" s="11" t="n">
        <v>1</v>
      </c>
      <c r="S14" s="29" t="n">
        <v>0</v>
      </c>
      <c r="T14" s="29" t="n">
        <v>0</v>
      </c>
      <c r="U14" s="11" t="n">
        <v>1</v>
      </c>
      <c r="V14" s="29" t="n">
        <v>0</v>
      </c>
      <c r="W14" s="11" t="n">
        <v>1</v>
      </c>
      <c r="X14" s="11" t="n">
        <v>1</v>
      </c>
      <c r="Y14" s="11" t="n">
        <v>1</v>
      </c>
    </row>
    <row r="15" ht="18" customHeight="1" s="26">
      <c r="A15" s="23" t="inlineStr">
        <is>
          <t>BT24CSE013</t>
        </is>
      </c>
      <c r="B15" s="15" t="inlineStr">
        <is>
          <t>Tanmay More</t>
        </is>
      </c>
      <c r="C15" s="16" t="n">
        <v>1</v>
      </c>
      <c r="D15" s="30" t="n">
        <v>75</v>
      </c>
      <c r="E15" s="17" t="inlineStr">
        <is>
          <t>N/A</t>
        </is>
      </c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8" customHeight="1" s="26">
      <c r="A16" s="24" t="inlineStr">
        <is>
          <t>BT24CSE014</t>
        </is>
      </c>
      <c r="B16" s="10" t="inlineStr">
        <is>
          <t>Simran Chauhan</t>
        </is>
      </c>
      <c r="C16" s="11" t="n">
        <v>0</v>
      </c>
      <c r="D16" s="32" t="n">
        <v>75</v>
      </c>
      <c r="E16" s="33">
        <f>IF(C16=1,"N/A",IFERROR(ROUND(SUM(F16:XFD16)/SUMPRODUCT((F16:XFD16&lt;&gt;"")*IFERROR(VALUE(MID(F$2:XFD$2,FIND("(c",F$2:XFD$2)+2,2)),1))*100,2),0))</f>
        <v/>
      </c>
      <c r="F16" s="11" t="n">
        <v>1</v>
      </c>
      <c r="G16" s="11" t="n">
        <v>1</v>
      </c>
      <c r="H16" s="11" t="n">
        <v>1</v>
      </c>
      <c r="I16" s="11" t="n">
        <v>1</v>
      </c>
      <c r="J16" s="29" t="n">
        <v>0</v>
      </c>
      <c r="K16" s="11" t="n">
        <v>1</v>
      </c>
      <c r="L16" s="11" t="n">
        <v>1</v>
      </c>
      <c r="M16" s="11" t="n">
        <v>1</v>
      </c>
      <c r="N16" s="11" t="n">
        <v>1</v>
      </c>
      <c r="O16" s="29" t="n">
        <v>0</v>
      </c>
      <c r="P16" s="11" t="n">
        <v>1</v>
      </c>
      <c r="Q16" s="29" t="n">
        <v>0</v>
      </c>
      <c r="R16" s="11" t="n">
        <v>1</v>
      </c>
      <c r="S16" s="29" t="n">
        <v>0</v>
      </c>
      <c r="T16" s="11" t="n">
        <v>1</v>
      </c>
      <c r="U16" s="29" t="n">
        <v>0</v>
      </c>
      <c r="V16" s="11" t="n">
        <v>1</v>
      </c>
      <c r="W16" s="11" t="n">
        <v>1</v>
      </c>
      <c r="X16" s="11" t="n">
        <v>1</v>
      </c>
      <c r="Y16" s="11" t="n">
        <v>1</v>
      </c>
    </row>
    <row r="17" ht="18" customHeight="1" s="26">
      <c r="A17" s="23" t="inlineStr">
        <is>
          <t>BT24CSE015</t>
        </is>
      </c>
      <c r="B17" s="5" t="inlineStr">
        <is>
          <t>Aarav Tripathi</t>
        </is>
      </c>
      <c r="C17" s="6" t="n">
        <v>0</v>
      </c>
      <c r="D17" s="30" t="n">
        <v>75</v>
      </c>
      <c r="E17" s="31">
        <f>IF(C17=1,"N/A",IFERROR(ROUND(SUM(F17:XFD17)/SUMPRODUCT((F17:XFD17&lt;&gt;"")*IFERROR(VALUE(MID(F$2:XFD$2,FIND("(c",F$2:XFD$2)+2,2)),1))*100,2),0))</f>
        <v/>
      </c>
      <c r="F17" s="6" t="n">
        <v>1</v>
      </c>
      <c r="G17" s="6" t="n">
        <v>1</v>
      </c>
      <c r="H17" s="6" t="n">
        <v>1</v>
      </c>
      <c r="I17" s="6" t="n">
        <v>1</v>
      </c>
      <c r="J17" s="6" t="n">
        <v>1</v>
      </c>
      <c r="K17" s="6" t="n">
        <v>1</v>
      </c>
      <c r="L17" s="6" t="n">
        <v>1</v>
      </c>
      <c r="M17" s="6" t="n">
        <v>1</v>
      </c>
      <c r="N17" s="16" t="n">
        <v>0</v>
      </c>
      <c r="O17" s="6" t="n">
        <v>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16" t="n">
        <v>0</v>
      </c>
      <c r="Y17" s="6" t="n">
        <v>1</v>
      </c>
    </row>
    <row r="18" ht="18" customHeight="1" s="26">
      <c r="A18" s="24" t="inlineStr">
        <is>
          <t>BT24CSE016</t>
        </is>
      </c>
      <c r="B18" s="10" t="inlineStr">
        <is>
          <t>Ishaan Dubey</t>
        </is>
      </c>
      <c r="C18" s="11" t="n">
        <v>0</v>
      </c>
      <c r="D18" s="32" t="n">
        <v>75</v>
      </c>
      <c r="E18" s="33">
        <f>IF(C18=1,"N/A",IFERROR(ROUND(SUM(F18:XFD18)/SUMPRODUCT((F18:XFD18&lt;&gt;"")*IFERROR(VALUE(MID(F$2:XFD$2,FIND("(c",F$2:XFD$2)+2,2)),1))*100,2),0))</f>
        <v/>
      </c>
      <c r="F18" s="11" t="n">
        <v>1</v>
      </c>
      <c r="G18" s="11" t="n">
        <v>1</v>
      </c>
      <c r="H18" s="11" t="n">
        <v>1</v>
      </c>
      <c r="I18" s="11" t="n">
        <v>1</v>
      </c>
      <c r="J18" s="11" t="n">
        <v>1</v>
      </c>
      <c r="K18" s="11" t="n">
        <v>1</v>
      </c>
      <c r="L18" s="11" t="n">
        <v>1</v>
      </c>
      <c r="M18" s="29" t="n">
        <v>0</v>
      </c>
      <c r="N18" s="11" t="n">
        <v>1</v>
      </c>
      <c r="O18" s="29" t="n">
        <v>0</v>
      </c>
      <c r="P18" s="11" t="n">
        <v>1</v>
      </c>
      <c r="Q18" s="11" t="n">
        <v>1</v>
      </c>
      <c r="R18" s="11" t="n">
        <v>1</v>
      </c>
      <c r="S18" s="11" t="n">
        <v>1</v>
      </c>
      <c r="T18" s="11" t="n">
        <v>1</v>
      </c>
      <c r="U18" s="11" t="n">
        <v>1</v>
      </c>
      <c r="V18" s="11" t="n">
        <v>1</v>
      </c>
      <c r="W18" s="11" t="n">
        <v>1</v>
      </c>
      <c r="X18" s="11" t="n">
        <v>1</v>
      </c>
      <c r="Y18" s="11" t="n">
        <v>1</v>
      </c>
    </row>
    <row r="19" ht="18" customHeight="1" s="26">
      <c r="A19" s="23" t="inlineStr">
        <is>
          <t>BT24CSE017</t>
        </is>
      </c>
      <c r="B19" s="5" t="inlineStr">
        <is>
          <t>Geeta Desai</t>
        </is>
      </c>
      <c r="C19" s="6" t="n">
        <v>0</v>
      </c>
      <c r="D19" s="30" t="n">
        <v>75</v>
      </c>
      <c r="E19" s="31">
        <f>IF(C19=1,"N/A",IFERROR(ROUND(SUM(F19:XFD19)/SUMPRODUCT((F19:XFD19&lt;&gt;"")*IFERROR(VALUE(MID(F$2:XFD$2,FIND("(c",F$2:XFD$2)+2,2)),1))*100,2),0))</f>
        <v/>
      </c>
      <c r="F19" s="6" t="n">
        <v>1</v>
      </c>
      <c r="G19" s="6" t="n">
        <v>1</v>
      </c>
      <c r="H19" s="16" t="n">
        <v>0</v>
      </c>
      <c r="I19" s="6" t="n">
        <v>1</v>
      </c>
      <c r="J19" s="6" t="n">
        <v>1</v>
      </c>
      <c r="K19" s="6" t="n">
        <v>1</v>
      </c>
      <c r="L19" s="6" t="n">
        <v>1</v>
      </c>
      <c r="M19" s="6" t="n">
        <v>1</v>
      </c>
      <c r="N19" s="6" t="n">
        <v>1</v>
      </c>
      <c r="O19" s="16" t="n">
        <v>0</v>
      </c>
      <c r="P19" s="6" t="n">
        <v>1</v>
      </c>
      <c r="Q19" s="6" t="n">
        <v>1</v>
      </c>
      <c r="R19" s="6" t="n">
        <v>1</v>
      </c>
      <c r="S19" s="6" t="n">
        <v>1</v>
      </c>
      <c r="T19" s="6" t="n">
        <v>1</v>
      </c>
      <c r="U19" s="6" t="n">
        <v>1</v>
      </c>
      <c r="V19" s="6" t="n">
        <v>1</v>
      </c>
      <c r="W19" s="16" t="n">
        <v>0</v>
      </c>
      <c r="X19" s="6" t="n">
        <v>1</v>
      </c>
      <c r="Y19" s="6" t="n">
        <v>1</v>
      </c>
    </row>
    <row r="20" ht="18" customHeight="1" s="26">
      <c r="A20" s="24" t="inlineStr">
        <is>
          <t>BT24CSE018</t>
        </is>
      </c>
      <c r="B20" s="10" t="inlineStr">
        <is>
          <t>Simran Verma</t>
        </is>
      </c>
      <c r="C20" s="11" t="n">
        <v>0</v>
      </c>
      <c r="D20" s="32" t="n">
        <v>75</v>
      </c>
      <c r="E20" s="33">
        <f>IF(C20=1,"N/A",IFERROR(ROUND(SUM(F20:XFD20)/SUMPRODUCT((F20:XFD20&lt;&gt;"")*IFERROR(VALUE(MID(F$2:XFD$2,FIND("(c",F$2:XFD$2)+2,2)),1))*100,2),0))</f>
        <v/>
      </c>
      <c r="F20" s="11" t="n">
        <v>1</v>
      </c>
      <c r="G20" s="11" t="n">
        <v>1</v>
      </c>
      <c r="H20" s="11" t="n">
        <v>1</v>
      </c>
      <c r="I20" s="11" t="n">
        <v>1</v>
      </c>
      <c r="J20" s="11" t="n">
        <v>1</v>
      </c>
      <c r="K20" s="11" t="n">
        <v>1</v>
      </c>
      <c r="L20" s="11" t="n">
        <v>1</v>
      </c>
      <c r="M20" s="11" t="n">
        <v>1</v>
      </c>
      <c r="N20" s="11" t="n">
        <v>1</v>
      </c>
      <c r="O20" s="11" t="n">
        <v>1</v>
      </c>
      <c r="P20" s="11" t="n">
        <v>1</v>
      </c>
      <c r="Q20" s="11" t="n">
        <v>1</v>
      </c>
      <c r="R20" s="29" t="n">
        <v>0</v>
      </c>
      <c r="S20" s="11" t="n">
        <v>1</v>
      </c>
      <c r="T20" s="11" t="n">
        <v>1</v>
      </c>
      <c r="U20" s="11" t="n">
        <v>1</v>
      </c>
      <c r="V20" s="29" t="n">
        <v>0</v>
      </c>
      <c r="W20" s="11" t="n">
        <v>1</v>
      </c>
      <c r="X20" s="29" t="n">
        <v>0</v>
      </c>
      <c r="Y20" s="11" t="n">
        <v>1</v>
      </c>
    </row>
    <row r="21" ht="18" customHeight="1" s="26">
      <c r="A21" s="23" t="inlineStr">
        <is>
          <t>BT24CSE019</t>
        </is>
      </c>
      <c r="B21" s="5" t="inlineStr">
        <is>
          <t>Varun Tripathi</t>
        </is>
      </c>
      <c r="C21" s="6" t="n">
        <v>0</v>
      </c>
      <c r="D21" s="30" t="n">
        <v>75</v>
      </c>
      <c r="E21" s="31">
        <f>IF(C21=1,"N/A",IFERROR(ROUND(SUM(F21:XFD21)/SUMPRODUCT((F21:XFD21&lt;&gt;"")*IFERROR(VALUE(MID(F$2:XFD$2,FIND("(c",F$2:XFD$2)+2,2)),1))*100,2),0))</f>
        <v/>
      </c>
      <c r="F21" s="16" t="n">
        <v>0</v>
      </c>
      <c r="G21" s="6" t="n">
        <v>1</v>
      </c>
      <c r="H21" s="16" t="n">
        <v>0</v>
      </c>
      <c r="I21" s="16" t="n">
        <v>0</v>
      </c>
      <c r="J21" s="6" t="n">
        <v>1</v>
      </c>
      <c r="K21" s="6" t="n">
        <v>1</v>
      </c>
      <c r="L21" s="6" t="n">
        <v>1</v>
      </c>
      <c r="M21" s="16" t="n">
        <v>0</v>
      </c>
      <c r="N21" s="6" t="n">
        <v>1</v>
      </c>
      <c r="O21" s="16" t="n">
        <v>0</v>
      </c>
      <c r="P21" s="6" t="n">
        <v>1</v>
      </c>
      <c r="Q21" s="6" t="n">
        <v>1</v>
      </c>
      <c r="R21" s="6" t="n">
        <v>1</v>
      </c>
      <c r="S21" s="6" t="n">
        <v>1</v>
      </c>
      <c r="T21" s="6" t="n">
        <v>1</v>
      </c>
      <c r="U21" s="6" t="n">
        <v>1</v>
      </c>
      <c r="V21" s="6" t="n">
        <v>1</v>
      </c>
      <c r="W21" s="6" t="n">
        <v>1</v>
      </c>
      <c r="X21" s="6" t="n">
        <v>1</v>
      </c>
      <c r="Y21" s="6" t="n">
        <v>1</v>
      </c>
    </row>
    <row r="22" ht="18" customHeight="1" s="26">
      <c r="A22" s="24" t="inlineStr">
        <is>
          <t>BT24CSE020</t>
        </is>
      </c>
      <c r="B22" s="10" t="inlineStr">
        <is>
          <t>Dhruv Kumar</t>
        </is>
      </c>
      <c r="C22" s="11" t="n">
        <v>0</v>
      </c>
      <c r="D22" s="32" t="n">
        <v>75</v>
      </c>
      <c r="E22" s="33">
        <f>IF(C22=1,"N/A",IFERROR(ROUND(SUM(F22:XFD22)/SUMPRODUCT((F22:XFD22&lt;&gt;"")*IFERROR(VALUE(MID(F$2:XFD$2,FIND("(c",F$2:XFD$2)+2,2)),1))*100,2),0))</f>
        <v/>
      </c>
      <c r="F22" s="11" t="n">
        <v>1</v>
      </c>
      <c r="G22" s="11" t="n">
        <v>1</v>
      </c>
      <c r="H22" s="11" t="n">
        <v>1</v>
      </c>
      <c r="I22" s="11" t="n">
        <v>1</v>
      </c>
      <c r="J22" s="11" t="n">
        <v>1</v>
      </c>
      <c r="K22" s="11" t="n">
        <v>1</v>
      </c>
      <c r="L22" s="11" t="n">
        <v>1</v>
      </c>
      <c r="M22" s="11" t="n">
        <v>1</v>
      </c>
      <c r="N22" s="11" t="n">
        <v>1</v>
      </c>
      <c r="O22" s="11" t="n">
        <v>1</v>
      </c>
      <c r="P22" s="11" t="n">
        <v>1</v>
      </c>
      <c r="Q22" s="11" t="n">
        <v>1</v>
      </c>
      <c r="R22" s="11" t="n">
        <v>1</v>
      </c>
      <c r="S22" s="11" t="n">
        <v>1</v>
      </c>
      <c r="T22" s="29" t="n">
        <v>0</v>
      </c>
      <c r="U22" s="11" t="n">
        <v>1</v>
      </c>
      <c r="V22" s="11" t="n">
        <v>1</v>
      </c>
      <c r="W22" s="29" t="n">
        <v>0</v>
      </c>
      <c r="X22" s="11" t="n">
        <v>1</v>
      </c>
      <c r="Y22" s="11" t="n">
        <v>1</v>
      </c>
    </row>
    <row r="23" ht="18" customHeight="1" s="26">
      <c r="A23" s="23" t="inlineStr">
        <is>
          <t>BT24CSE021</t>
        </is>
      </c>
      <c r="B23" s="5" t="inlineStr">
        <is>
          <t>Priya Chavan</t>
        </is>
      </c>
      <c r="C23" s="6" t="n">
        <v>0</v>
      </c>
      <c r="D23" s="30" t="n">
        <v>75</v>
      </c>
      <c r="E23" s="31">
        <f>IF(C23=1,"N/A",IFERROR(ROUND(SUM(F23:XFD23)/SUMPRODUCT((F23:XFD23&lt;&gt;"")*IFERROR(VALUE(MID(F$2:XFD$2,FIND("(c",F$2:XFD$2)+2,2)),1))*100,2),0))</f>
        <v/>
      </c>
      <c r="F23" s="6" t="n">
        <v>1</v>
      </c>
      <c r="G23" s="6" t="n">
        <v>1</v>
      </c>
      <c r="H23" s="6" t="n">
        <v>1</v>
      </c>
      <c r="I23" s="16" t="n">
        <v>0</v>
      </c>
      <c r="J23" s="16" t="n">
        <v>0</v>
      </c>
      <c r="K23" s="6" t="n">
        <v>1</v>
      </c>
      <c r="L23" s="6" t="n">
        <v>1</v>
      </c>
      <c r="M23" s="6" t="n">
        <v>1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1</v>
      </c>
      <c r="S23" s="6" t="n">
        <v>1</v>
      </c>
      <c r="T23" s="6" t="n">
        <v>1</v>
      </c>
      <c r="U23" s="6" t="n">
        <v>1</v>
      </c>
      <c r="V23" s="6" t="n">
        <v>1</v>
      </c>
      <c r="W23" s="6" t="n">
        <v>1</v>
      </c>
      <c r="X23" s="6" t="n">
        <v>1</v>
      </c>
      <c r="Y23" s="6" t="n">
        <v>1</v>
      </c>
    </row>
    <row r="24" ht="18" customHeight="1" s="26">
      <c r="A24" s="24" t="inlineStr">
        <is>
          <t>BT24CSE022</t>
        </is>
      </c>
      <c r="B24" s="10" t="inlineStr">
        <is>
          <t>Sneha Mehta</t>
        </is>
      </c>
      <c r="C24" s="11" t="n">
        <v>0</v>
      </c>
      <c r="D24" s="32" t="n">
        <v>75</v>
      </c>
      <c r="E24" s="33">
        <f>IF(C24=1,"N/A",IFERROR(ROUND(SUM(F24:XFD24)/SUMPRODUCT((F24:XFD24&lt;&gt;"")*IFERROR(VALUE(MID(F$2:XFD$2,FIND("(c",F$2:XFD$2)+2,2)),1))*100,2),0))</f>
        <v/>
      </c>
      <c r="F24" s="11" t="n">
        <v>1</v>
      </c>
      <c r="G24" s="11" t="n">
        <v>1</v>
      </c>
      <c r="H24" s="11" t="n">
        <v>1</v>
      </c>
      <c r="I24" s="11" t="n">
        <v>1</v>
      </c>
      <c r="J24" s="11" t="n">
        <v>1</v>
      </c>
      <c r="K24" s="11" t="n">
        <v>1</v>
      </c>
      <c r="L24" s="11" t="n">
        <v>1</v>
      </c>
      <c r="M24" s="11" t="n">
        <v>1</v>
      </c>
      <c r="N24" s="11" t="n">
        <v>1</v>
      </c>
      <c r="O24" s="11" t="n">
        <v>1</v>
      </c>
      <c r="P24" s="11" t="n">
        <v>1</v>
      </c>
      <c r="Q24" s="11" t="n">
        <v>1</v>
      </c>
      <c r="R24" s="11" t="n">
        <v>1</v>
      </c>
      <c r="S24" s="11" t="n">
        <v>1</v>
      </c>
      <c r="T24" s="29" t="n">
        <v>0</v>
      </c>
      <c r="U24" s="11" t="n">
        <v>1</v>
      </c>
      <c r="V24" s="11" t="n">
        <v>1</v>
      </c>
      <c r="W24" s="11" t="n">
        <v>1</v>
      </c>
      <c r="X24" s="11" t="n">
        <v>1</v>
      </c>
      <c r="Y24" s="29" t="n">
        <v>0</v>
      </c>
    </row>
    <row r="25" ht="18" customHeight="1" s="26">
      <c r="A25" s="23" t="inlineStr">
        <is>
          <t>BT24CSE023</t>
        </is>
      </c>
      <c r="B25" s="5" t="inlineStr">
        <is>
          <t>Raj Deshpande</t>
        </is>
      </c>
      <c r="C25" s="6" t="n">
        <v>0</v>
      </c>
      <c r="D25" s="30" t="n">
        <v>75</v>
      </c>
      <c r="E25" s="31">
        <f>IF(C25=1,"N/A",IFERROR(ROUND(SUM(F25:XFD25)/SUMPRODUCT((F25:XFD25&lt;&gt;"")*IFERROR(VALUE(MID(F$2:XFD$2,FIND("(c",F$2:XFD$2)+2,2)),1))*100,2),0))</f>
        <v/>
      </c>
      <c r="F25" s="6" t="n">
        <v>1</v>
      </c>
      <c r="G25" s="6" t="n">
        <v>1</v>
      </c>
      <c r="H25" s="6" t="n">
        <v>1</v>
      </c>
      <c r="I25" s="6" t="n">
        <v>1</v>
      </c>
      <c r="J25" s="6" t="n">
        <v>1</v>
      </c>
      <c r="K25" s="16" t="n">
        <v>0</v>
      </c>
      <c r="L25" s="6" t="n">
        <v>1</v>
      </c>
      <c r="M25" s="6" t="n">
        <v>1</v>
      </c>
      <c r="N25" s="6" t="n">
        <v>1</v>
      </c>
      <c r="O25" s="6" t="n">
        <v>1</v>
      </c>
      <c r="P25" s="6" t="n">
        <v>1</v>
      </c>
      <c r="Q25" s="6" t="n">
        <v>1</v>
      </c>
      <c r="R25" s="6" t="n">
        <v>1</v>
      </c>
      <c r="S25" s="6" t="n">
        <v>1</v>
      </c>
      <c r="T25" s="6" t="n">
        <v>1</v>
      </c>
      <c r="U25" s="6" t="n">
        <v>1</v>
      </c>
      <c r="V25" s="6" t="n">
        <v>1</v>
      </c>
      <c r="W25" s="6" t="n">
        <v>1</v>
      </c>
      <c r="X25" s="6" t="n">
        <v>1</v>
      </c>
      <c r="Y25" s="16" t="n">
        <v>0</v>
      </c>
    </row>
    <row r="26" ht="18" customHeight="1" s="26">
      <c r="A26" s="24" t="inlineStr">
        <is>
          <t>BT24CSE024</t>
        </is>
      </c>
      <c r="B26" s="10" t="inlineStr">
        <is>
          <t>Anjali Chauhan</t>
        </is>
      </c>
      <c r="C26" s="11" t="n">
        <v>0</v>
      </c>
      <c r="D26" s="32" t="n">
        <v>75</v>
      </c>
      <c r="E26" s="33">
        <f>IF(C26=1,"N/A",IFERROR(ROUND(SUM(F26:XFD26)/SUMPRODUCT((F26:XFD26&lt;&gt;"")*IFERROR(VALUE(MID(F$2:XFD$2,FIND("(c",F$2:XFD$2)+2,2)),1))*100,2),0))</f>
        <v/>
      </c>
      <c r="F26" s="29" t="n">
        <v>0</v>
      </c>
      <c r="G26" s="11" t="n">
        <v>1</v>
      </c>
      <c r="H26" s="11" t="n">
        <v>1</v>
      </c>
      <c r="I26" s="11" t="n">
        <v>1</v>
      </c>
      <c r="J26" s="11" t="n">
        <v>1</v>
      </c>
      <c r="K26" s="29" t="n">
        <v>0</v>
      </c>
      <c r="L26" s="11" t="n">
        <v>1</v>
      </c>
      <c r="M26" s="11" t="n">
        <v>1</v>
      </c>
      <c r="N26" s="11" t="n">
        <v>1</v>
      </c>
      <c r="O26" s="11" t="n">
        <v>1</v>
      </c>
      <c r="P26" s="11" t="n">
        <v>1</v>
      </c>
      <c r="Q26" s="11" t="n">
        <v>1</v>
      </c>
      <c r="R26" s="11" t="n">
        <v>1</v>
      </c>
      <c r="S26" s="29" t="n">
        <v>0</v>
      </c>
      <c r="T26" s="11" t="n">
        <v>1</v>
      </c>
      <c r="U26" s="11" t="n">
        <v>1</v>
      </c>
      <c r="V26" s="29" t="n">
        <v>0</v>
      </c>
      <c r="W26" s="11" t="n">
        <v>1</v>
      </c>
      <c r="X26" s="11" t="n">
        <v>1</v>
      </c>
      <c r="Y26" s="11" t="n">
        <v>1</v>
      </c>
    </row>
    <row r="27" ht="18" customHeight="1" s="26">
      <c r="A27" s="23" t="inlineStr">
        <is>
          <t>BT24CSE025</t>
        </is>
      </c>
      <c r="B27" s="5" t="inlineStr">
        <is>
          <t>Sai Srivastava</t>
        </is>
      </c>
      <c r="C27" s="6" t="n">
        <v>0</v>
      </c>
      <c r="D27" s="30" t="n">
        <v>75</v>
      </c>
      <c r="E27" s="31">
        <f>IF(C27=1,"N/A",IFERROR(ROUND(SUM(F27:XFD27)/SUMPRODUCT((F27:XFD27&lt;&gt;"")*IFERROR(VALUE(MID(F$2:XFD$2,FIND("(c",F$2:XFD$2)+2,2)),1))*100,2),0))</f>
        <v/>
      </c>
      <c r="F27" s="6" t="n">
        <v>1</v>
      </c>
      <c r="G27" s="6" t="n">
        <v>1</v>
      </c>
      <c r="H27" s="6" t="n">
        <v>1</v>
      </c>
      <c r="I27" s="16" t="n">
        <v>0</v>
      </c>
      <c r="J27" s="16" t="n">
        <v>0</v>
      </c>
      <c r="K27" s="6" t="n">
        <v>1</v>
      </c>
      <c r="L27" s="16" t="n">
        <v>0</v>
      </c>
      <c r="M27" s="6" t="n">
        <v>1</v>
      </c>
      <c r="N27" s="16" t="n">
        <v>0</v>
      </c>
      <c r="O27" s="6" t="n">
        <v>1</v>
      </c>
      <c r="P27" s="6" t="n">
        <v>1</v>
      </c>
      <c r="Q27" s="6" t="n">
        <v>1</v>
      </c>
      <c r="R27" s="16" t="n">
        <v>0</v>
      </c>
      <c r="S27" s="6" t="n">
        <v>1</v>
      </c>
      <c r="T27" s="16" t="n">
        <v>0</v>
      </c>
      <c r="U27" s="6" t="n">
        <v>1</v>
      </c>
      <c r="V27" s="6" t="n">
        <v>1</v>
      </c>
      <c r="W27" s="6" t="n">
        <v>1</v>
      </c>
      <c r="X27" s="6" t="n">
        <v>1</v>
      </c>
      <c r="Y27" s="6" t="n">
        <v>1</v>
      </c>
    </row>
    <row r="28" ht="18" customHeight="1" s="26">
      <c r="A28" s="24" t="inlineStr">
        <is>
          <t>BT24CSE026</t>
        </is>
      </c>
      <c r="B28" s="10" t="inlineStr">
        <is>
          <t>Nita Shinde</t>
        </is>
      </c>
      <c r="C28" s="11" t="n">
        <v>0</v>
      </c>
      <c r="D28" s="32" t="n">
        <v>75</v>
      </c>
      <c r="E28" s="33">
        <f>IF(C28=1,"N/A",IFERROR(ROUND(SUM(F28:XFD28)/SUMPRODUCT((F28:XFD28&lt;&gt;"")*IFERROR(VALUE(MID(F$2:XFD$2,FIND("(c",F$2:XFD$2)+2,2)),1))*100,2),0))</f>
        <v/>
      </c>
      <c r="F28" s="29" t="n">
        <v>0</v>
      </c>
      <c r="G28" s="29" t="n">
        <v>0</v>
      </c>
      <c r="H28" s="11" t="n">
        <v>1</v>
      </c>
      <c r="I28" s="29" t="n">
        <v>0</v>
      </c>
      <c r="J28" s="11" t="n">
        <v>1</v>
      </c>
      <c r="K28" s="11" t="n">
        <v>1</v>
      </c>
      <c r="L28" s="11" t="n">
        <v>1</v>
      </c>
      <c r="M28" s="11" t="n">
        <v>1</v>
      </c>
      <c r="N28" s="11" t="n">
        <v>1</v>
      </c>
      <c r="O28" s="29" t="n">
        <v>0</v>
      </c>
      <c r="P28" s="11" t="n">
        <v>1</v>
      </c>
      <c r="Q28" s="11" t="n">
        <v>1</v>
      </c>
      <c r="R28" s="11" t="n">
        <v>1</v>
      </c>
      <c r="S28" s="11" t="n">
        <v>1</v>
      </c>
      <c r="T28" s="29" t="n">
        <v>0</v>
      </c>
      <c r="U28" s="11" t="n">
        <v>1</v>
      </c>
      <c r="V28" s="11" t="n">
        <v>1</v>
      </c>
      <c r="W28" s="11" t="n">
        <v>1</v>
      </c>
      <c r="X28" s="29" t="n">
        <v>0</v>
      </c>
      <c r="Y28" s="11" t="n">
        <v>1</v>
      </c>
    </row>
    <row r="29" ht="18" customHeight="1" s="26">
      <c r="A29" s="23" t="inlineStr">
        <is>
          <t>BT24CSE027</t>
        </is>
      </c>
      <c r="B29" s="5" t="inlineStr">
        <is>
          <t>Riya Menon</t>
        </is>
      </c>
      <c r="C29" s="6" t="n">
        <v>0</v>
      </c>
      <c r="D29" s="30" t="n">
        <v>75</v>
      </c>
      <c r="E29" s="31">
        <f>IF(C29=1,"N/A",IFERROR(ROUND(SUM(F29:XFD29)/SUMPRODUCT((F29:XFD29&lt;&gt;"")*IFERROR(VALUE(MID(F$2:XFD$2,FIND("(c",F$2:XFD$2)+2,2)),1))*100,2),0))</f>
        <v/>
      </c>
      <c r="F29" s="6" t="n">
        <v>1</v>
      </c>
      <c r="G29" s="6" t="n">
        <v>1</v>
      </c>
      <c r="H29" s="6" t="n">
        <v>1</v>
      </c>
      <c r="I29" s="6" t="n">
        <v>1</v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1</v>
      </c>
      <c r="T29" s="6" t="n">
        <v>1</v>
      </c>
      <c r="U29" s="6" t="n">
        <v>1</v>
      </c>
      <c r="V29" s="6" t="n">
        <v>1</v>
      </c>
      <c r="W29" s="6" t="n">
        <v>1</v>
      </c>
      <c r="X29" s="6" t="n">
        <v>1</v>
      </c>
      <c r="Y29" s="6" t="n">
        <v>1</v>
      </c>
    </row>
    <row r="30" ht="18" customHeight="1" s="26">
      <c r="A30" s="24" t="inlineStr">
        <is>
          <t>BT24CSE028</t>
        </is>
      </c>
      <c r="B30" s="10" t="inlineStr">
        <is>
          <t>Rishi Singh</t>
        </is>
      </c>
      <c r="C30" s="11" t="n">
        <v>0</v>
      </c>
      <c r="D30" s="32" t="n">
        <v>75</v>
      </c>
      <c r="E30" s="33">
        <f>IF(C30=1,"N/A",IFERROR(ROUND(SUM(F30:XFD30)/SUMPRODUCT((F30:XFD30&lt;&gt;"")*IFERROR(VALUE(MID(F$2:XFD$2,FIND("(c",F$2:XFD$2)+2,2)),1))*100,2),0))</f>
        <v/>
      </c>
      <c r="F30" s="11" t="n">
        <v>1</v>
      </c>
      <c r="G30" s="11" t="n">
        <v>1</v>
      </c>
      <c r="H30" s="11" t="n">
        <v>1</v>
      </c>
      <c r="I30" s="11" t="n">
        <v>1</v>
      </c>
      <c r="J30" s="11" t="n">
        <v>1</v>
      </c>
      <c r="K30" s="11" t="n">
        <v>1</v>
      </c>
      <c r="L30" s="11" t="n">
        <v>1</v>
      </c>
      <c r="M30" s="11" t="n">
        <v>1</v>
      </c>
      <c r="N30" s="11" t="n">
        <v>1</v>
      </c>
      <c r="O30" s="29" t="n">
        <v>0</v>
      </c>
      <c r="P30" s="11" t="n">
        <v>1</v>
      </c>
      <c r="Q30" s="11" t="n">
        <v>1</v>
      </c>
      <c r="R30" s="11" t="n">
        <v>1</v>
      </c>
      <c r="S30" s="11" t="n">
        <v>1</v>
      </c>
      <c r="T30" s="11" t="n">
        <v>1</v>
      </c>
      <c r="U30" s="11" t="n">
        <v>1</v>
      </c>
      <c r="V30" s="11" t="n">
        <v>1</v>
      </c>
      <c r="W30" s="11" t="n">
        <v>1</v>
      </c>
      <c r="X30" s="11" t="n">
        <v>1</v>
      </c>
      <c r="Y30" s="29" t="n">
        <v>0</v>
      </c>
    </row>
    <row r="31" ht="18" customHeight="1" s="26">
      <c r="A31" s="23" t="inlineStr">
        <is>
          <t>BT24CSE029</t>
        </is>
      </c>
      <c r="B31" s="5" t="inlineStr">
        <is>
          <t>Pallavi Mishra</t>
        </is>
      </c>
      <c r="C31" s="6" t="n">
        <v>0</v>
      </c>
      <c r="D31" s="30" t="n">
        <v>75</v>
      </c>
      <c r="E31" s="31">
        <f>IF(C31=1,"N/A",IFERROR(ROUND(SUM(F31:XFD31)/SUMPRODUCT((F31:XFD31&lt;&gt;"")*IFERROR(VALUE(MID(F$2:XFD$2,FIND("(c",F$2:XFD$2)+2,2)),1))*100,2),0))</f>
        <v/>
      </c>
      <c r="F31" s="6" t="n">
        <v>1</v>
      </c>
      <c r="G31" s="6" t="n">
        <v>1</v>
      </c>
      <c r="H31" s="6" t="n">
        <v>1</v>
      </c>
      <c r="I31" s="16" t="n">
        <v>0</v>
      </c>
      <c r="J31" s="6" t="n">
        <v>1</v>
      </c>
      <c r="K31" s="16" t="n">
        <v>0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16" t="n">
        <v>0</v>
      </c>
      <c r="R31" s="6" t="n">
        <v>1</v>
      </c>
      <c r="S31" s="16" t="n">
        <v>0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  <c r="Y31" s="6" t="n">
        <v>1</v>
      </c>
    </row>
    <row r="32" ht="18" customHeight="1" s="26">
      <c r="A32" s="24" t="inlineStr">
        <is>
          <t>BT24CSE030</t>
        </is>
      </c>
      <c r="B32" s="10" t="inlineStr">
        <is>
          <t>Shaan Wagh</t>
        </is>
      </c>
      <c r="C32" s="11" t="n">
        <v>0</v>
      </c>
      <c r="D32" s="32" t="n">
        <v>75</v>
      </c>
      <c r="E32" s="33">
        <f>IF(C32=1,"N/A",IFERROR(ROUND(SUM(F32:XFD32)/SUMPRODUCT((F32:XFD32&lt;&gt;"")*IFERROR(VALUE(MID(F$2:XFD$2,FIND("(c",F$2:XFD$2)+2,2)),1))*100,2),0))</f>
        <v/>
      </c>
      <c r="F32" s="11" t="n">
        <v>1</v>
      </c>
      <c r="G32" s="29" t="n">
        <v>0</v>
      </c>
      <c r="H32" s="11" t="n">
        <v>1</v>
      </c>
      <c r="I32" s="11" t="n">
        <v>1</v>
      </c>
      <c r="J32" s="11" t="n">
        <v>1</v>
      </c>
      <c r="K32" s="11" t="n">
        <v>1</v>
      </c>
      <c r="L32" s="11" t="n">
        <v>1</v>
      </c>
      <c r="M32" s="11" t="n">
        <v>1</v>
      </c>
      <c r="N32" s="11" t="n">
        <v>1</v>
      </c>
      <c r="O32" s="11" t="n">
        <v>1</v>
      </c>
      <c r="P32" s="29" t="n">
        <v>0</v>
      </c>
      <c r="Q32" s="29" t="n">
        <v>0</v>
      </c>
      <c r="R32" s="11" t="n">
        <v>1</v>
      </c>
      <c r="S32" s="11" t="n">
        <v>1</v>
      </c>
      <c r="T32" s="11" t="n">
        <v>1</v>
      </c>
      <c r="U32" s="11" t="n">
        <v>1</v>
      </c>
      <c r="V32" s="29" t="n">
        <v>0</v>
      </c>
      <c r="W32" s="11" t="n">
        <v>1</v>
      </c>
      <c r="X32" s="11" t="n">
        <v>1</v>
      </c>
      <c r="Y32" s="11" t="n">
        <v>1</v>
      </c>
    </row>
    <row r="33" ht="18" customHeight="1" s="26">
      <c r="A33" s="23" t="inlineStr">
        <is>
          <t>BT24CSE031</t>
        </is>
      </c>
      <c r="B33" s="5" t="inlineStr">
        <is>
          <t>Yash Dubey</t>
        </is>
      </c>
      <c r="C33" s="6" t="n">
        <v>0</v>
      </c>
      <c r="D33" s="30" t="n">
        <v>75</v>
      </c>
      <c r="E33" s="31">
        <f>IF(C33=1,"N/A",IFERROR(ROUND(SUM(F33:XFD33)/SUMPRODUCT((F33:XFD33&lt;&gt;"")*IFERROR(VALUE(MID(F$2:XFD$2,FIND("(c",F$2:XFD$2)+2,2)),1))*100,2),0))</f>
        <v/>
      </c>
      <c r="F33" s="6" t="n">
        <v>1</v>
      </c>
      <c r="G33" s="6" t="n">
        <v>1</v>
      </c>
      <c r="H33" s="6" t="n">
        <v>1</v>
      </c>
      <c r="I33" s="6" t="n">
        <v>1</v>
      </c>
      <c r="J33" s="6" t="n">
        <v>1</v>
      </c>
      <c r="K33" s="6" t="n">
        <v>1</v>
      </c>
      <c r="L33" s="6" t="n">
        <v>1</v>
      </c>
      <c r="M33" s="6" t="n">
        <v>1</v>
      </c>
      <c r="N33" s="6" t="n">
        <v>1</v>
      </c>
      <c r="O33" s="6" t="n">
        <v>1</v>
      </c>
      <c r="P33" s="6" t="n">
        <v>1</v>
      </c>
      <c r="Q33" s="6" t="n">
        <v>1</v>
      </c>
      <c r="R33" s="16" t="n">
        <v>0</v>
      </c>
      <c r="S33" s="6" t="n">
        <v>1</v>
      </c>
      <c r="T33" s="6" t="n">
        <v>1</v>
      </c>
      <c r="U33" s="6" t="n">
        <v>1</v>
      </c>
      <c r="V33" s="16" t="n">
        <v>0</v>
      </c>
      <c r="W33" s="6" t="n">
        <v>1</v>
      </c>
      <c r="X33" s="6" t="n">
        <v>1</v>
      </c>
      <c r="Y33" s="6" t="n">
        <v>1</v>
      </c>
    </row>
    <row r="34" ht="18" customHeight="1" s="26">
      <c r="A34" s="24" t="inlineStr">
        <is>
          <t>BT24CSE032</t>
        </is>
      </c>
      <c r="B34" s="10" t="inlineStr">
        <is>
          <t>Karan Patel</t>
        </is>
      </c>
      <c r="C34" s="11" t="n">
        <v>0</v>
      </c>
      <c r="D34" s="32" t="n">
        <v>75</v>
      </c>
      <c r="E34" s="33">
        <f>IF(C34=1,"N/A",IFERROR(ROUND(SUM(F34:XFD34)/SUMPRODUCT((F34:XFD34&lt;&gt;"")*IFERROR(VALUE(MID(F$2:XFD$2,FIND("(c",F$2:XFD$2)+2,2)),1))*100,2),0))</f>
        <v/>
      </c>
      <c r="F34" s="29" t="n">
        <v>0</v>
      </c>
      <c r="G34" s="29" t="n">
        <v>0</v>
      </c>
      <c r="H34" s="11" t="n">
        <v>1</v>
      </c>
      <c r="I34" s="11" t="n">
        <v>1</v>
      </c>
      <c r="J34" s="11" t="n">
        <v>1</v>
      </c>
      <c r="K34" s="11" t="n">
        <v>1</v>
      </c>
      <c r="L34" s="11" t="n">
        <v>1</v>
      </c>
      <c r="M34" s="11" t="n">
        <v>1</v>
      </c>
      <c r="N34" s="11" t="n">
        <v>1</v>
      </c>
      <c r="O34" s="11" t="n">
        <v>1</v>
      </c>
      <c r="P34" s="11" t="n">
        <v>1</v>
      </c>
      <c r="Q34" s="29" t="n">
        <v>0</v>
      </c>
      <c r="R34" s="11" t="n">
        <v>1</v>
      </c>
      <c r="S34" s="11" t="n">
        <v>1</v>
      </c>
      <c r="T34" s="11" t="n">
        <v>1</v>
      </c>
      <c r="U34" s="11" t="n">
        <v>1</v>
      </c>
      <c r="V34" s="11" t="n">
        <v>1</v>
      </c>
      <c r="W34" s="11" t="n">
        <v>1</v>
      </c>
      <c r="X34" s="11" t="n">
        <v>1</v>
      </c>
      <c r="Y34" s="11" t="n">
        <v>1</v>
      </c>
    </row>
    <row r="35" ht="18" customHeight="1" s="26">
      <c r="A35" s="23" t="inlineStr">
        <is>
          <t>BT24CSE033</t>
        </is>
      </c>
      <c r="B35" s="5" t="inlineStr">
        <is>
          <t>Parth Tripathi</t>
        </is>
      </c>
      <c r="C35" s="6" t="n">
        <v>0</v>
      </c>
      <c r="D35" s="30" t="n">
        <v>75</v>
      </c>
      <c r="E35" s="31">
        <f>IF(C35=1,"N/A",IFERROR(ROUND(SUM(F35:XFD35)/SUMPRODUCT((F35:XFD35&lt;&gt;"")*IFERROR(VALUE(MID(F$2:XFD$2,FIND("(c",F$2:XFD$2)+2,2)),1))*100,2),0))</f>
        <v/>
      </c>
      <c r="F35" s="16" t="n">
        <v>0</v>
      </c>
      <c r="G35" s="16" t="n">
        <v>0</v>
      </c>
      <c r="H35" s="6" t="n">
        <v>1</v>
      </c>
      <c r="I35" s="16" t="n">
        <v>0</v>
      </c>
      <c r="J35" s="16" t="n">
        <v>0</v>
      </c>
      <c r="K35" s="6" t="n">
        <v>1</v>
      </c>
      <c r="L35" s="6" t="n">
        <v>1</v>
      </c>
      <c r="M35" s="6" t="n">
        <v>1</v>
      </c>
      <c r="N35" s="6" t="n">
        <v>1</v>
      </c>
      <c r="O35" s="6" t="n">
        <v>1</v>
      </c>
      <c r="P35" s="6" t="n">
        <v>1</v>
      </c>
      <c r="Q35" s="16" t="n">
        <v>0</v>
      </c>
      <c r="R35" s="6" t="n">
        <v>1</v>
      </c>
      <c r="S35" s="6" t="n">
        <v>1</v>
      </c>
      <c r="T35" s="6" t="n">
        <v>1</v>
      </c>
      <c r="U35" s="6" t="n">
        <v>1</v>
      </c>
      <c r="V35" s="6" t="n">
        <v>1</v>
      </c>
      <c r="W35" s="6" t="n">
        <v>1</v>
      </c>
      <c r="X35" s="6" t="n">
        <v>1</v>
      </c>
      <c r="Y35" s="6" t="n">
        <v>1</v>
      </c>
    </row>
    <row r="36" ht="18" customHeight="1" s="26">
      <c r="A36" s="24" t="inlineStr">
        <is>
          <t>BT24CSE034</t>
        </is>
      </c>
      <c r="B36" s="10" t="inlineStr">
        <is>
          <t>Preeti Singh</t>
        </is>
      </c>
      <c r="C36" s="11" t="n">
        <v>0</v>
      </c>
      <c r="D36" s="32" t="n">
        <v>75</v>
      </c>
      <c r="E36" s="33">
        <f>IF(C36=1,"N/A",IFERROR(ROUND(SUM(F36:XFD36)/SUMPRODUCT((F36:XFD36&lt;&gt;"")*IFERROR(VALUE(MID(F$2:XFD$2,FIND("(c",F$2:XFD$2)+2,2)),1))*100,2),0))</f>
        <v/>
      </c>
      <c r="F36" s="29" t="n">
        <v>0</v>
      </c>
      <c r="G36" s="11" t="n">
        <v>1</v>
      </c>
      <c r="H36" s="11" t="n">
        <v>1</v>
      </c>
      <c r="I36" s="11" t="n">
        <v>1</v>
      </c>
      <c r="J36" s="29" t="n">
        <v>0</v>
      </c>
      <c r="K36" s="29" t="n">
        <v>0</v>
      </c>
      <c r="L36" s="11" t="n">
        <v>1</v>
      </c>
      <c r="M36" s="11" t="n">
        <v>1</v>
      </c>
      <c r="N36" s="11" t="n">
        <v>1</v>
      </c>
      <c r="O36" s="11" t="n">
        <v>1</v>
      </c>
      <c r="P36" s="29" t="n">
        <v>0</v>
      </c>
      <c r="Q36" s="11" t="n">
        <v>1</v>
      </c>
      <c r="R36" s="11" t="n">
        <v>1</v>
      </c>
      <c r="S36" s="29" t="n">
        <v>0</v>
      </c>
      <c r="T36" s="11" t="n">
        <v>1</v>
      </c>
      <c r="U36" s="11" t="n">
        <v>1</v>
      </c>
      <c r="V36" s="11" t="n">
        <v>1</v>
      </c>
      <c r="W36" s="11" t="n">
        <v>1</v>
      </c>
      <c r="X36" s="11" t="n">
        <v>1</v>
      </c>
      <c r="Y36" s="11" t="n">
        <v>1</v>
      </c>
    </row>
    <row r="37" ht="18" customHeight="1" s="26">
      <c r="A37" s="23" t="inlineStr">
        <is>
          <t>BT24CSE035</t>
        </is>
      </c>
      <c r="B37" s="15" t="inlineStr">
        <is>
          <t>Parth Reddy</t>
        </is>
      </c>
      <c r="C37" s="16" t="n">
        <v>1</v>
      </c>
      <c r="D37" s="30" t="n">
        <v>75</v>
      </c>
      <c r="E37" s="17" t="inlineStr">
        <is>
          <t>N/A</t>
        </is>
      </c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8" customHeight="1" s="26">
      <c r="A38" s="24" t="inlineStr">
        <is>
          <t>BT24CSE036</t>
        </is>
      </c>
      <c r="B38" s="10" t="inlineStr">
        <is>
          <t>Sneha Chavan</t>
        </is>
      </c>
      <c r="C38" s="11" t="n">
        <v>0</v>
      </c>
      <c r="D38" s="32" t="n">
        <v>75</v>
      </c>
      <c r="E38" s="33">
        <f>IF(C38=1,"N/A",IFERROR(ROUND(SUM(F38:XFD38)/SUMPRODUCT((F38:XFD38&lt;&gt;"")*IFERROR(VALUE(MID(F$2:XFD$2,FIND("(c",F$2:XFD$2)+2,2)),1))*100,2),0))</f>
        <v/>
      </c>
      <c r="F38" s="11" t="n">
        <v>1</v>
      </c>
      <c r="G38" s="11" t="n">
        <v>1</v>
      </c>
      <c r="H38" s="11" t="n">
        <v>1</v>
      </c>
      <c r="I38" s="11" t="n">
        <v>1</v>
      </c>
      <c r="J38" s="29" t="n">
        <v>0</v>
      </c>
      <c r="K38" s="11" t="n">
        <v>1</v>
      </c>
      <c r="L38" s="11" t="n">
        <v>1</v>
      </c>
      <c r="M38" s="11" t="n">
        <v>1</v>
      </c>
      <c r="N38" s="29" t="n">
        <v>0</v>
      </c>
      <c r="O38" s="11" t="n">
        <v>1</v>
      </c>
      <c r="P38" s="11" t="n">
        <v>1</v>
      </c>
      <c r="Q38" s="11" t="n">
        <v>1</v>
      </c>
      <c r="R38" s="11" t="n">
        <v>1</v>
      </c>
      <c r="S38" s="11" t="n">
        <v>1</v>
      </c>
      <c r="T38" s="11" t="n">
        <v>1</v>
      </c>
      <c r="U38" s="29" t="n">
        <v>0</v>
      </c>
      <c r="V38" s="29" t="n">
        <v>0</v>
      </c>
      <c r="W38" s="11" t="n">
        <v>1</v>
      </c>
      <c r="X38" s="11" t="n">
        <v>1</v>
      </c>
      <c r="Y38" s="29" t="n">
        <v>0</v>
      </c>
    </row>
    <row r="39" ht="18" customHeight="1" s="26">
      <c r="A39" s="23" t="inlineStr">
        <is>
          <t>BT24CSE037</t>
        </is>
      </c>
      <c r="B39" s="5" t="inlineStr">
        <is>
          <t>Simran More</t>
        </is>
      </c>
      <c r="C39" s="6" t="n">
        <v>0</v>
      </c>
      <c r="D39" s="30" t="n">
        <v>75</v>
      </c>
      <c r="E39" s="31">
        <f>IF(C39=1,"N/A",IFERROR(ROUND(SUM(F39:XFD39)/SUMPRODUCT((F39:XFD39&lt;&gt;"")*IFERROR(VALUE(MID(F$2:XFD$2,FIND("(c",F$2:XFD$2)+2,2)),1))*100,2),0))</f>
        <v/>
      </c>
      <c r="F39" s="6" t="n">
        <v>1</v>
      </c>
      <c r="G39" s="6" t="n">
        <v>1</v>
      </c>
      <c r="H39" s="6" t="n">
        <v>1</v>
      </c>
      <c r="I39" s="6" t="n">
        <v>1</v>
      </c>
      <c r="J39" s="16" t="n">
        <v>0</v>
      </c>
      <c r="K39" s="16" t="n">
        <v>0</v>
      </c>
      <c r="L39" s="6" t="n">
        <v>1</v>
      </c>
      <c r="M39" s="6" t="n">
        <v>1</v>
      </c>
      <c r="N39" s="6" t="n">
        <v>1</v>
      </c>
      <c r="O39" s="16" t="n">
        <v>0</v>
      </c>
      <c r="P39" s="6" t="n">
        <v>1</v>
      </c>
      <c r="Q39" s="16" t="n">
        <v>0</v>
      </c>
      <c r="R39" s="16" t="n">
        <v>0</v>
      </c>
      <c r="S39" s="6" t="n">
        <v>1</v>
      </c>
      <c r="T39" s="6" t="n">
        <v>1</v>
      </c>
      <c r="U39" s="6" t="n">
        <v>1</v>
      </c>
      <c r="V39" s="16" t="n">
        <v>0</v>
      </c>
      <c r="W39" s="6" t="n">
        <v>1</v>
      </c>
      <c r="X39" s="16" t="n">
        <v>0</v>
      </c>
      <c r="Y39" s="6" t="n">
        <v>1</v>
      </c>
    </row>
    <row r="40" ht="18" customHeight="1" s="26">
      <c r="A40" s="24" t="inlineStr">
        <is>
          <t>BT24CSE038</t>
        </is>
      </c>
      <c r="B40" s="10" t="inlineStr">
        <is>
          <t>Shaan Gupta</t>
        </is>
      </c>
      <c r="C40" s="11" t="n">
        <v>0</v>
      </c>
      <c r="D40" s="32" t="n">
        <v>75</v>
      </c>
      <c r="E40" s="33">
        <f>IF(C40=1,"N/A",IFERROR(ROUND(SUM(F40:XFD40)/SUMPRODUCT((F40:XFD40&lt;&gt;"")*IFERROR(VALUE(MID(F$2:XFD$2,FIND("(c",F$2:XFD$2)+2,2)),1))*100,2),0))</f>
        <v/>
      </c>
      <c r="F40" s="11" t="n">
        <v>1</v>
      </c>
      <c r="G40" s="11" t="n">
        <v>1</v>
      </c>
      <c r="H40" s="29" t="n">
        <v>0</v>
      </c>
      <c r="I40" s="11" t="n">
        <v>1</v>
      </c>
      <c r="J40" s="11" t="n">
        <v>1</v>
      </c>
      <c r="K40" s="11" t="n">
        <v>1</v>
      </c>
      <c r="L40" s="11" t="n">
        <v>1</v>
      </c>
      <c r="M40" s="11" t="n">
        <v>1</v>
      </c>
      <c r="N40" s="11" t="n">
        <v>1</v>
      </c>
      <c r="O40" s="11" t="n">
        <v>1</v>
      </c>
      <c r="P40" s="11" t="n">
        <v>1</v>
      </c>
      <c r="Q40" s="11" t="n">
        <v>1</v>
      </c>
      <c r="R40" s="11" t="n">
        <v>1</v>
      </c>
      <c r="S40" s="11" t="n">
        <v>1</v>
      </c>
      <c r="T40" s="11" t="n">
        <v>1</v>
      </c>
      <c r="U40" s="11" t="n">
        <v>1</v>
      </c>
      <c r="V40" s="11" t="n">
        <v>1</v>
      </c>
      <c r="W40" s="11" t="n">
        <v>1</v>
      </c>
      <c r="X40" s="11" t="n">
        <v>1</v>
      </c>
      <c r="Y40" s="29" t="n">
        <v>0</v>
      </c>
    </row>
    <row r="41" ht="18" customHeight="1" s="26">
      <c r="A41" s="23" t="inlineStr">
        <is>
          <t>BT24CSE039</t>
        </is>
      </c>
      <c r="B41" s="5" t="inlineStr">
        <is>
          <t>Kunal Mehta</t>
        </is>
      </c>
      <c r="C41" s="6" t="n">
        <v>0</v>
      </c>
      <c r="D41" s="30" t="n">
        <v>75</v>
      </c>
      <c r="E41" s="31">
        <f>IF(C41=1,"N/A",IFERROR(ROUND(SUM(F41:XFD41)/SUMPRODUCT((F41:XFD41&lt;&gt;"")*IFERROR(VALUE(MID(F$2:XFD$2,FIND("(c",F$2:XFD$2)+2,2)),1))*100,2),0))</f>
        <v/>
      </c>
      <c r="F41" s="6" t="n">
        <v>1</v>
      </c>
      <c r="G41" s="6" t="n">
        <v>1</v>
      </c>
      <c r="H41" s="16" t="n">
        <v>0</v>
      </c>
      <c r="I41" s="16" t="n">
        <v>0</v>
      </c>
      <c r="J41" s="6" t="n">
        <v>1</v>
      </c>
      <c r="K41" s="6" t="n">
        <v>1</v>
      </c>
      <c r="L41" s="6" t="n">
        <v>1</v>
      </c>
      <c r="M41" s="6" t="n">
        <v>1</v>
      </c>
      <c r="N41" s="16" t="n">
        <v>0</v>
      </c>
      <c r="O41" s="16" t="n">
        <v>0</v>
      </c>
      <c r="P41" s="6" t="n">
        <v>1</v>
      </c>
      <c r="Q41" s="6" t="n">
        <v>1</v>
      </c>
      <c r="R41" s="6" t="n">
        <v>1</v>
      </c>
      <c r="S41" s="6" t="n">
        <v>1</v>
      </c>
      <c r="T41" s="6" t="n">
        <v>1</v>
      </c>
      <c r="U41" s="6" t="n">
        <v>1</v>
      </c>
      <c r="V41" s="6" t="n">
        <v>1</v>
      </c>
      <c r="W41" s="6" t="n">
        <v>1</v>
      </c>
      <c r="X41" s="16" t="n">
        <v>0</v>
      </c>
      <c r="Y41" s="6" t="n">
        <v>1</v>
      </c>
    </row>
    <row r="42" ht="18" customHeight="1" s="26">
      <c r="A42" s="24" t="inlineStr">
        <is>
          <t>BT24CSE040</t>
        </is>
      </c>
      <c r="B42" s="10" t="inlineStr">
        <is>
          <t>Pranav Pandey</t>
        </is>
      </c>
      <c r="C42" s="11" t="n">
        <v>0</v>
      </c>
      <c r="D42" s="32" t="n">
        <v>75</v>
      </c>
      <c r="E42" s="33">
        <f>IF(C42=1,"N/A",IFERROR(ROUND(SUM(F42:XFD42)/SUMPRODUCT((F42:XFD42&lt;&gt;"")*IFERROR(VALUE(MID(F$2:XFD$2,FIND("(c",F$2:XFD$2)+2,2)),1))*100,2),0))</f>
        <v/>
      </c>
      <c r="F42" s="11" t="n">
        <v>1</v>
      </c>
      <c r="G42" s="11" t="n">
        <v>1</v>
      </c>
      <c r="H42" s="29" t="n">
        <v>0</v>
      </c>
      <c r="I42" s="29" t="n">
        <v>0</v>
      </c>
      <c r="J42" s="29" t="n">
        <v>0</v>
      </c>
      <c r="K42" s="11" t="n">
        <v>1</v>
      </c>
      <c r="L42" s="11" t="n">
        <v>1</v>
      </c>
      <c r="M42" s="11" t="n">
        <v>1</v>
      </c>
      <c r="N42" s="11" t="n">
        <v>1</v>
      </c>
      <c r="O42" s="29" t="n">
        <v>0</v>
      </c>
      <c r="P42" s="11" t="n">
        <v>1</v>
      </c>
      <c r="Q42" s="11" t="n">
        <v>1</v>
      </c>
      <c r="R42" s="11" t="n">
        <v>1</v>
      </c>
      <c r="S42" s="29" t="n">
        <v>0</v>
      </c>
      <c r="T42" s="29" t="n">
        <v>0</v>
      </c>
      <c r="U42" s="11" t="n">
        <v>1</v>
      </c>
      <c r="V42" s="11" t="n">
        <v>1</v>
      </c>
      <c r="W42" s="11" t="n">
        <v>1</v>
      </c>
      <c r="X42" s="11" t="n">
        <v>1</v>
      </c>
      <c r="Y42" s="29" t="n">
        <v>0</v>
      </c>
    </row>
    <row r="43" ht="18" customHeight="1" s="26">
      <c r="A43" s="23" t="inlineStr">
        <is>
          <t>BT24CSE041</t>
        </is>
      </c>
      <c r="B43" s="5" t="inlineStr">
        <is>
          <t>Nisha Dubey</t>
        </is>
      </c>
      <c r="C43" s="6" t="n">
        <v>0</v>
      </c>
      <c r="D43" s="30" t="n">
        <v>75</v>
      </c>
      <c r="E43" s="31">
        <f>IF(C43=1,"N/A",IFERROR(ROUND(SUM(F43:XFD43)/SUMPRODUCT((F43:XFD43&lt;&gt;"")*IFERROR(VALUE(MID(F$2:XFD$2,FIND("(c",F$2:XFD$2)+2,2)),1))*100,2),0))</f>
        <v/>
      </c>
      <c r="F43" s="6" t="n">
        <v>1</v>
      </c>
      <c r="G43" s="6" t="n">
        <v>1</v>
      </c>
      <c r="H43" s="16" t="n">
        <v>0</v>
      </c>
      <c r="I43" s="6" t="n">
        <v>1</v>
      </c>
      <c r="J43" s="6" t="n">
        <v>1</v>
      </c>
      <c r="K43" s="6" t="n">
        <v>1</v>
      </c>
      <c r="L43" s="6" t="n">
        <v>1</v>
      </c>
      <c r="M43" s="6" t="n">
        <v>1</v>
      </c>
      <c r="N43" s="6" t="n">
        <v>1</v>
      </c>
      <c r="O43" s="6" t="n">
        <v>1</v>
      </c>
      <c r="P43" s="6" t="n">
        <v>1</v>
      </c>
      <c r="Q43" s="6" t="n">
        <v>1</v>
      </c>
      <c r="R43" s="6" t="n">
        <v>1</v>
      </c>
      <c r="S43" s="16" t="n">
        <v>0</v>
      </c>
      <c r="T43" s="6" t="n">
        <v>1</v>
      </c>
      <c r="U43" s="6" t="n">
        <v>1</v>
      </c>
      <c r="V43" s="16" t="n">
        <v>0</v>
      </c>
      <c r="W43" s="6" t="n">
        <v>1</v>
      </c>
      <c r="X43" s="6" t="n">
        <v>1</v>
      </c>
      <c r="Y43" s="6" t="n">
        <v>1</v>
      </c>
    </row>
    <row r="44" ht="18" customHeight="1" s="26">
      <c r="A44" s="24" t="inlineStr">
        <is>
          <t>BT24CSE042</t>
        </is>
      </c>
      <c r="B44" s="10" t="inlineStr">
        <is>
          <t>Dev Deshpande</t>
        </is>
      </c>
      <c r="C44" s="11" t="n">
        <v>0</v>
      </c>
      <c r="D44" s="32" t="n">
        <v>75</v>
      </c>
      <c r="E44" s="33">
        <f>IF(C44=1,"N/A",IFERROR(ROUND(SUM(F44:XFD44)/SUMPRODUCT((F44:XFD44&lt;&gt;"")*IFERROR(VALUE(MID(F$2:XFD$2,FIND("(c",F$2:XFD$2)+2,2)),1))*100,2),0))</f>
        <v/>
      </c>
      <c r="F44" s="11" t="n">
        <v>1</v>
      </c>
      <c r="G44" s="11" t="n">
        <v>1</v>
      </c>
      <c r="H44" s="29" t="n">
        <v>0</v>
      </c>
      <c r="I44" s="29" t="n">
        <v>0</v>
      </c>
      <c r="J44" s="11" t="n">
        <v>1</v>
      </c>
      <c r="K44" s="11" t="n">
        <v>1</v>
      </c>
      <c r="L44" s="11" t="n">
        <v>1</v>
      </c>
      <c r="M44" s="11" t="n">
        <v>1</v>
      </c>
      <c r="N44" s="11" t="n">
        <v>1</v>
      </c>
      <c r="O44" s="11" t="n">
        <v>1</v>
      </c>
      <c r="P44" s="11" t="n">
        <v>1</v>
      </c>
      <c r="Q44" s="11" t="n">
        <v>1</v>
      </c>
      <c r="R44" s="29" t="n">
        <v>0</v>
      </c>
      <c r="S44" s="11" t="n">
        <v>1</v>
      </c>
      <c r="T44" s="11" t="n">
        <v>1</v>
      </c>
      <c r="U44" s="11" t="n">
        <v>1</v>
      </c>
      <c r="V44" s="11" t="n">
        <v>1</v>
      </c>
      <c r="W44" s="11" t="n">
        <v>1</v>
      </c>
      <c r="X44" s="11" t="n">
        <v>1</v>
      </c>
      <c r="Y44" s="29" t="n">
        <v>0</v>
      </c>
    </row>
    <row r="45" ht="18" customHeight="1" s="26">
      <c r="A45" s="23" t="inlineStr">
        <is>
          <t>BT24CSE043</t>
        </is>
      </c>
      <c r="B45" s="5" t="inlineStr">
        <is>
          <t>Shivam Shinde</t>
        </is>
      </c>
      <c r="C45" s="6" t="n">
        <v>0</v>
      </c>
      <c r="D45" s="30" t="n">
        <v>75</v>
      </c>
      <c r="E45" s="31">
        <f>IF(C45=1,"N/A",IFERROR(ROUND(SUM(F45:XFD45)/SUMPRODUCT((F45:XFD45&lt;&gt;"")*IFERROR(VALUE(MID(F$2:XFD$2,FIND("(c",F$2:XFD$2)+2,2)),1))*100,2),0))</f>
        <v/>
      </c>
      <c r="F45" s="6" t="n">
        <v>1</v>
      </c>
      <c r="G45" s="16" t="n">
        <v>0</v>
      </c>
      <c r="H45" s="6" t="n">
        <v>1</v>
      </c>
      <c r="I45" s="6" t="n">
        <v>1</v>
      </c>
      <c r="J45" s="6" t="n">
        <v>1</v>
      </c>
      <c r="K45" s="6" t="n">
        <v>1</v>
      </c>
      <c r="L45" s="6" t="n">
        <v>1</v>
      </c>
      <c r="M45" s="6" t="n">
        <v>1</v>
      </c>
      <c r="N45" s="6" t="n">
        <v>1</v>
      </c>
      <c r="O45" s="6" t="n">
        <v>1</v>
      </c>
      <c r="P45" s="16" t="n">
        <v>0</v>
      </c>
      <c r="Q45" s="6" t="n">
        <v>1</v>
      </c>
      <c r="R45" s="6" t="n">
        <v>1</v>
      </c>
      <c r="S45" s="6" t="n">
        <v>1</v>
      </c>
      <c r="T45" s="6" t="n">
        <v>1</v>
      </c>
      <c r="U45" s="6" t="n">
        <v>1</v>
      </c>
      <c r="V45" s="6" t="n">
        <v>1</v>
      </c>
      <c r="W45" s="6" t="n">
        <v>1</v>
      </c>
      <c r="X45" s="6" t="n">
        <v>1</v>
      </c>
      <c r="Y45" s="6" t="n">
        <v>1</v>
      </c>
    </row>
    <row r="46" ht="18" customHeight="1" s="26">
      <c r="A46" s="24" t="inlineStr">
        <is>
          <t>BT24CSE044</t>
        </is>
      </c>
      <c r="B46" s="10" t="inlineStr">
        <is>
          <t>Tanvi Gupta</t>
        </is>
      </c>
      <c r="C46" s="11" t="n">
        <v>0</v>
      </c>
      <c r="D46" s="32" t="n">
        <v>75</v>
      </c>
      <c r="E46" s="33">
        <f>IF(C46=1,"N/A",IFERROR(ROUND(SUM(F46:XFD46)/SUMPRODUCT((F46:XFD46&lt;&gt;"")*IFERROR(VALUE(MID(F$2:XFD$2,FIND("(c",F$2:XFD$2)+2,2)),1))*100,2),0))</f>
        <v/>
      </c>
      <c r="F46" s="29" t="n">
        <v>0</v>
      </c>
      <c r="G46" s="11" t="n">
        <v>1</v>
      </c>
      <c r="H46" s="29" t="n">
        <v>0</v>
      </c>
      <c r="I46" s="11" t="n">
        <v>1</v>
      </c>
      <c r="J46" s="11" t="n">
        <v>1</v>
      </c>
      <c r="K46" s="11" t="n">
        <v>1</v>
      </c>
      <c r="L46" s="11" t="n">
        <v>1</v>
      </c>
      <c r="M46" s="11" t="n">
        <v>1</v>
      </c>
      <c r="N46" s="11" t="n">
        <v>1</v>
      </c>
      <c r="O46" s="11" t="n">
        <v>1</v>
      </c>
      <c r="P46" s="11" t="n">
        <v>1</v>
      </c>
      <c r="Q46" s="11" t="n">
        <v>1</v>
      </c>
      <c r="R46" s="11" t="n">
        <v>1</v>
      </c>
      <c r="S46" s="11" t="n">
        <v>1</v>
      </c>
      <c r="T46" s="29" t="n">
        <v>0</v>
      </c>
      <c r="U46" s="11" t="n">
        <v>1</v>
      </c>
      <c r="V46" s="29" t="n">
        <v>0</v>
      </c>
      <c r="W46" s="29" t="n">
        <v>0</v>
      </c>
      <c r="X46" s="11" t="n">
        <v>1</v>
      </c>
      <c r="Y46" s="29" t="n">
        <v>0</v>
      </c>
    </row>
    <row r="47" ht="18" customHeight="1" s="26">
      <c r="A47" s="23" t="inlineStr">
        <is>
          <t>BT24CSE045</t>
        </is>
      </c>
      <c r="B47" s="5" t="inlineStr">
        <is>
          <t>Smita Chavan</t>
        </is>
      </c>
      <c r="C47" s="6" t="n">
        <v>0</v>
      </c>
      <c r="D47" s="30" t="n">
        <v>75</v>
      </c>
      <c r="E47" s="31">
        <f>IF(C47=1,"N/A",IFERROR(ROUND(SUM(F47:XFD47)/SUMPRODUCT((F47:XFD47&lt;&gt;"")*IFERROR(VALUE(MID(F$2:XFD$2,FIND("(c",F$2:XFD$2)+2,2)),1))*100,2),0))</f>
        <v/>
      </c>
      <c r="F47" s="6" t="n">
        <v>1</v>
      </c>
      <c r="G47" s="16" t="n">
        <v>0</v>
      </c>
      <c r="H47" s="6" t="n">
        <v>1</v>
      </c>
      <c r="I47" s="6" t="n">
        <v>1</v>
      </c>
      <c r="J47" s="6" t="n">
        <v>1</v>
      </c>
      <c r="K47" s="16" t="n">
        <v>0</v>
      </c>
      <c r="L47" s="6" t="n">
        <v>1</v>
      </c>
      <c r="M47" s="16" t="n">
        <v>0</v>
      </c>
      <c r="N47" s="16" t="n">
        <v>0</v>
      </c>
      <c r="O47" s="6" t="n">
        <v>1</v>
      </c>
      <c r="P47" s="16" t="n">
        <v>0</v>
      </c>
      <c r="Q47" s="16" t="n">
        <v>0</v>
      </c>
      <c r="R47" s="16" t="n">
        <v>0</v>
      </c>
      <c r="S47" s="6" t="n">
        <v>1</v>
      </c>
      <c r="T47" s="6" t="n">
        <v>1</v>
      </c>
      <c r="U47" s="6" t="n">
        <v>1</v>
      </c>
      <c r="V47" s="6" t="n">
        <v>1</v>
      </c>
      <c r="W47" s="6" t="n">
        <v>1</v>
      </c>
      <c r="X47" s="6" t="n">
        <v>1</v>
      </c>
      <c r="Y47" s="6" t="n">
        <v>1</v>
      </c>
    </row>
    <row r="48" ht="18" customHeight="1" s="26">
      <c r="A48" s="24" t="inlineStr">
        <is>
          <t>BT24CSE046</t>
        </is>
      </c>
      <c r="B48" s="10" t="inlineStr">
        <is>
          <t>Nisha Menon</t>
        </is>
      </c>
      <c r="C48" s="11" t="n">
        <v>0</v>
      </c>
      <c r="D48" s="32" t="n">
        <v>75</v>
      </c>
      <c r="E48" s="33">
        <f>IF(C48=1,"N/A",IFERROR(ROUND(SUM(F48:XFD48)/SUMPRODUCT((F48:XFD48&lt;&gt;"")*IFERROR(VALUE(MID(F$2:XFD$2,FIND("(c",F$2:XFD$2)+2,2)),1))*100,2),0))</f>
        <v/>
      </c>
      <c r="F48" s="11" t="n">
        <v>1</v>
      </c>
      <c r="G48" s="29" t="n">
        <v>0</v>
      </c>
      <c r="H48" s="29" t="n">
        <v>0</v>
      </c>
      <c r="I48" s="11" t="n">
        <v>1</v>
      </c>
      <c r="J48" s="11" t="n">
        <v>1</v>
      </c>
      <c r="K48" s="11" t="n">
        <v>1</v>
      </c>
      <c r="L48" s="29" t="n">
        <v>0</v>
      </c>
      <c r="M48" s="11" t="n">
        <v>1</v>
      </c>
      <c r="N48" s="29" t="n">
        <v>0</v>
      </c>
      <c r="O48" s="11" t="n">
        <v>1</v>
      </c>
      <c r="P48" s="11" t="n">
        <v>1</v>
      </c>
      <c r="Q48" s="29" t="n">
        <v>0</v>
      </c>
      <c r="R48" s="29" t="n">
        <v>0</v>
      </c>
      <c r="S48" s="11" t="n">
        <v>1</v>
      </c>
      <c r="T48" s="11" t="n">
        <v>1</v>
      </c>
      <c r="U48" s="11" t="n">
        <v>1</v>
      </c>
      <c r="V48" s="29" t="n">
        <v>0</v>
      </c>
      <c r="W48" s="11" t="n">
        <v>1</v>
      </c>
      <c r="X48" s="11" t="n">
        <v>1</v>
      </c>
      <c r="Y48" s="11" t="n">
        <v>1</v>
      </c>
    </row>
    <row r="49" ht="18" customHeight="1" s="26">
      <c r="A49" s="23" t="inlineStr">
        <is>
          <t>BT24CSE047</t>
        </is>
      </c>
      <c r="B49" s="5" t="inlineStr">
        <is>
          <t>Madhuri Shah</t>
        </is>
      </c>
      <c r="C49" s="6" t="n">
        <v>0</v>
      </c>
      <c r="D49" s="30" t="n">
        <v>75</v>
      </c>
      <c r="E49" s="31">
        <f>IF(C49=1,"N/A",IFERROR(ROUND(SUM(F49:XFD49)/SUMPRODUCT((F49:XFD49&lt;&gt;"")*IFERROR(VALUE(MID(F$2:XFD$2,FIND("(c",F$2:XFD$2)+2,2)),1))*100,2),0))</f>
        <v/>
      </c>
      <c r="F49" s="16" t="n">
        <v>0</v>
      </c>
      <c r="G49" s="6" t="n">
        <v>1</v>
      </c>
      <c r="H49" s="6" t="n">
        <v>1</v>
      </c>
      <c r="I49" s="6" t="n">
        <v>1</v>
      </c>
      <c r="J49" s="6" t="n">
        <v>1</v>
      </c>
      <c r="K49" s="16" t="n">
        <v>0</v>
      </c>
      <c r="L49" s="6" t="n">
        <v>1</v>
      </c>
      <c r="M49" s="6" t="n">
        <v>1</v>
      </c>
      <c r="N49" s="6" t="n">
        <v>1</v>
      </c>
      <c r="O49" s="6" t="n">
        <v>1</v>
      </c>
      <c r="P49" s="6" t="n">
        <v>1</v>
      </c>
      <c r="Q49" s="6" t="n">
        <v>1</v>
      </c>
      <c r="R49" s="6" t="n">
        <v>1</v>
      </c>
      <c r="S49" s="16" t="n">
        <v>0</v>
      </c>
      <c r="T49" s="6" t="n">
        <v>1</v>
      </c>
      <c r="U49" s="6" t="n">
        <v>1</v>
      </c>
      <c r="V49" s="6" t="n">
        <v>1</v>
      </c>
      <c r="W49" s="16" t="n">
        <v>0</v>
      </c>
      <c r="X49" s="16" t="n">
        <v>0</v>
      </c>
      <c r="Y49" s="6" t="n">
        <v>1</v>
      </c>
    </row>
    <row r="50" ht="18" customHeight="1" s="26">
      <c r="A50" s="24" t="inlineStr">
        <is>
          <t>BT24CSE048</t>
        </is>
      </c>
      <c r="B50" s="10" t="inlineStr">
        <is>
          <t>Siddharth Rao</t>
        </is>
      </c>
      <c r="C50" s="11" t="n">
        <v>0</v>
      </c>
      <c r="D50" s="32" t="n">
        <v>75</v>
      </c>
      <c r="E50" s="33">
        <f>IF(C50=1,"N/A",IFERROR(ROUND(SUM(F50:XFD50)/SUMPRODUCT((F50:XFD50&lt;&gt;"")*IFERROR(VALUE(MID(F$2:XFD$2,FIND("(c",F$2:XFD$2)+2,2)),1))*100,2),0))</f>
        <v/>
      </c>
      <c r="F50" s="11" t="n">
        <v>1</v>
      </c>
      <c r="G50" s="11" t="n">
        <v>1</v>
      </c>
      <c r="H50" s="29" t="n">
        <v>0</v>
      </c>
      <c r="I50" s="11" t="n">
        <v>1</v>
      </c>
      <c r="J50" s="11" t="n">
        <v>1</v>
      </c>
      <c r="K50" s="11" t="n">
        <v>1</v>
      </c>
      <c r="L50" s="11" t="n">
        <v>1</v>
      </c>
      <c r="M50" s="29" t="n">
        <v>0</v>
      </c>
      <c r="N50" s="11" t="n">
        <v>1</v>
      </c>
      <c r="O50" s="11" t="n">
        <v>1</v>
      </c>
      <c r="P50" s="11" t="n">
        <v>1</v>
      </c>
      <c r="Q50" s="11" t="n">
        <v>1</v>
      </c>
      <c r="R50" s="11" t="n">
        <v>1</v>
      </c>
      <c r="S50" s="11" t="n">
        <v>1</v>
      </c>
      <c r="T50" s="11" t="n">
        <v>1</v>
      </c>
      <c r="U50" s="11" t="n">
        <v>1</v>
      </c>
      <c r="V50" s="11" t="n">
        <v>1</v>
      </c>
      <c r="W50" s="11" t="n">
        <v>1</v>
      </c>
      <c r="X50" s="11" t="n">
        <v>1</v>
      </c>
      <c r="Y50" s="11" t="n">
        <v>1</v>
      </c>
    </row>
    <row r="51" ht="18" customHeight="1" s="26">
      <c r="A51" s="23" t="inlineStr">
        <is>
          <t>BT24CSE049</t>
        </is>
      </c>
      <c r="B51" s="5" t="inlineStr">
        <is>
          <t>Rahul Shah</t>
        </is>
      </c>
      <c r="C51" s="6" t="n">
        <v>0</v>
      </c>
      <c r="D51" s="30" t="n">
        <v>75</v>
      </c>
      <c r="E51" s="31">
        <f>IF(C51=1,"N/A",IFERROR(ROUND(SUM(F51:XFD51)/SUMPRODUCT((F51:XFD51&lt;&gt;"")*IFERROR(VALUE(MID(F$2:XFD$2,FIND("(c",F$2:XFD$2)+2,2)),1))*100,2),0))</f>
        <v/>
      </c>
      <c r="F51" s="6" t="n">
        <v>1</v>
      </c>
      <c r="G51" s="16" t="n">
        <v>0</v>
      </c>
      <c r="H51" s="6" t="n">
        <v>1</v>
      </c>
      <c r="I51" s="6" t="n">
        <v>1</v>
      </c>
      <c r="J51" s="16" t="n">
        <v>0</v>
      </c>
      <c r="K51" s="6" t="n">
        <v>1</v>
      </c>
      <c r="L51" s="16" t="n">
        <v>0</v>
      </c>
      <c r="M51" s="6" t="n">
        <v>1</v>
      </c>
      <c r="N51" s="6" t="n">
        <v>1</v>
      </c>
      <c r="O51" s="6" t="n">
        <v>1</v>
      </c>
      <c r="P51" s="6" t="n">
        <v>1</v>
      </c>
      <c r="Q51" s="6" t="n">
        <v>1</v>
      </c>
      <c r="R51" s="6" t="n">
        <v>1</v>
      </c>
      <c r="S51" s="6" t="n">
        <v>1</v>
      </c>
      <c r="T51" s="6" t="n">
        <v>1</v>
      </c>
      <c r="U51" s="6" t="n">
        <v>1</v>
      </c>
      <c r="V51" s="6" t="n">
        <v>1</v>
      </c>
      <c r="W51" s="6" t="n">
        <v>1</v>
      </c>
      <c r="X51" s="6" t="n">
        <v>1</v>
      </c>
      <c r="Y51" s="6" t="n">
        <v>1</v>
      </c>
    </row>
    <row r="52" ht="18" customHeight="1" s="26">
      <c r="A52" s="24" t="inlineStr">
        <is>
          <t>BT24CSE050</t>
        </is>
      </c>
      <c r="B52" s="10" t="inlineStr">
        <is>
          <t>Arjun Chauhan</t>
        </is>
      </c>
      <c r="C52" s="11" t="n">
        <v>0</v>
      </c>
      <c r="D52" s="32" t="n">
        <v>75</v>
      </c>
      <c r="E52" s="33">
        <f>IF(C52=1,"N/A",IFERROR(ROUND(SUM(F52:XFD52)/SUMPRODUCT((F52:XFD52&lt;&gt;"")*IFERROR(VALUE(MID(F$2:XFD$2,FIND("(c",F$2:XFD$2)+2,2)),1))*100,2),0))</f>
        <v/>
      </c>
      <c r="F52" s="11" t="n">
        <v>1</v>
      </c>
      <c r="G52" s="11" t="n">
        <v>1</v>
      </c>
      <c r="H52" s="11" t="n">
        <v>1</v>
      </c>
      <c r="I52" s="11" t="n">
        <v>1</v>
      </c>
      <c r="J52" s="11" t="n">
        <v>1</v>
      </c>
      <c r="K52" s="11" t="n">
        <v>1</v>
      </c>
      <c r="L52" s="11" t="n">
        <v>1</v>
      </c>
      <c r="M52" s="29" t="n">
        <v>0</v>
      </c>
      <c r="N52" s="11" t="n">
        <v>1</v>
      </c>
      <c r="O52" s="11" t="n">
        <v>1</v>
      </c>
      <c r="P52" s="29" t="n">
        <v>0</v>
      </c>
      <c r="Q52" s="11" t="n">
        <v>1</v>
      </c>
      <c r="R52" s="11" t="n">
        <v>1</v>
      </c>
      <c r="S52" s="29" t="n">
        <v>0</v>
      </c>
      <c r="T52" s="11" t="n">
        <v>1</v>
      </c>
      <c r="U52" s="11" t="n">
        <v>1</v>
      </c>
      <c r="V52" s="11" t="n">
        <v>1</v>
      </c>
      <c r="W52" s="11" t="n">
        <v>1</v>
      </c>
      <c r="X52" s="11" t="n">
        <v>1</v>
      </c>
      <c r="Y52" s="29" t="n">
        <v>0</v>
      </c>
    </row>
    <row r="53" ht="18" customHeight="1" s="26">
      <c r="A53" s="23" t="inlineStr">
        <is>
          <t>BT24CSE051</t>
        </is>
      </c>
      <c r="B53" s="5" t="inlineStr">
        <is>
          <t>Aakash Chavan</t>
        </is>
      </c>
      <c r="C53" s="6" t="n">
        <v>0</v>
      </c>
      <c r="D53" s="30" t="n">
        <v>75</v>
      </c>
      <c r="E53" s="31">
        <f>IF(C53=1,"N/A",IFERROR(ROUND(SUM(F53:XFD53)/SUMPRODUCT((F53:XFD53&lt;&gt;"")*IFERROR(VALUE(MID(F$2:XFD$2,FIND("(c",F$2:XFD$2)+2,2)),1))*100,2),0))</f>
        <v/>
      </c>
      <c r="F53" s="6" t="n">
        <v>1</v>
      </c>
      <c r="G53" s="6" t="n">
        <v>1</v>
      </c>
      <c r="H53" s="6" t="n">
        <v>1</v>
      </c>
      <c r="I53" s="6" t="n">
        <v>1</v>
      </c>
      <c r="J53" s="6" t="n">
        <v>1</v>
      </c>
      <c r="K53" s="6" t="n">
        <v>1</v>
      </c>
      <c r="L53" s="6" t="n">
        <v>1</v>
      </c>
      <c r="M53" s="6" t="n">
        <v>1</v>
      </c>
      <c r="N53" s="16" t="n">
        <v>0</v>
      </c>
      <c r="O53" s="6" t="n">
        <v>1</v>
      </c>
      <c r="P53" s="6" t="n">
        <v>1</v>
      </c>
      <c r="Q53" s="6" t="n">
        <v>1</v>
      </c>
      <c r="R53" s="6" t="n">
        <v>1</v>
      </c>
      <c r="S53" s="6" t="n">
        <v>1</v>
      </c>
      <c r="T53" s="16" t="n">
        <v>0</v>
      </c>
      <c r="U53" s="6" t="n">
        <v>1</v>
      </c>
      <c r="V53" s="6" t="n">
        <v>1</v>
      </c>
      <c r="W53" s="6" t="n">
        <v>1</v>
      </c>
      <c r="X53" s="6" t="n">
        <v>1</v>
      </c>
      <c r="Y53" s="6" t="n">
        <v>1</v>
      </c>
    </row>
    <row r="54" ht="18" customHeight="1" s="26">
      <c r="A54" s="24" t="inlineStr">
        <is>
          <t>BT24CSE052</t>
        </is>
      </c>
      <c r="B54" s="10" t="inlineStr">
        <is>
          <t>Nisha Singh</t>
        </is>
      </c>
      <c r="C54" s="11" t="n">
        <v>0</v>
      </c>
      <c r="D54" s="32" t="n">
        <v>75</v>
      </c>
      <c r="E54" s="33">
        <f>IF(C54=1,"N/A",IFERROR(ROUND(SUM(F54:XFD54)/SUMPRODUCT((F54:XFD54&lt;&gt;"")*IFERROR(VALUE(MID(F$2:XFD$2,FIND("(c",F$2:XFD$2)+2,2)),1))*100,2),0))</f>
        <v/>
      </c>
      <c r="F54" s="11" t="n">
        <v>1</v>
      </c>
      <c r="G54" s="11" t="n">
        <v>1</v>
      </c>
      <c r="H54" s="11" t="n">
        <v>1</v>
      </c>
      <c r="I54" s="11" t="n">
        <v>1</v>
      </c>
      <c r="J54" s="11" t="n">
        <v>1</v>
      </c>
      <c r="K54" s="11" t="n">
        <v>1</v>
      </c>
      <c r="L54" s="11" t="n">
        <v>1</v>
      </c>
      <c r="M54" s="11" t="n">
        <v>1</v>
      </c>
      <c r="N54" s="11" t="n">
        <v>1</v>
      </c>
      <c r="O54" s="29" t="n">
        <v>0</v>
      </c>
      <c r="P54" s="11" t="n">
        <v>1</v>
      </c>
      <c r="Q54" s="29" t="n">
        <v>0</v>
      </c>
      <c r="R54" s="11" t="n">
        <v>1</v>
      </c>
      <c r="S54" s="11" t="n">
        <v>1</v>
      </c>
      <c r="T54" s="11" t="n">
        <v>1</v>
      </c>
      <c r="U54" s="29" t="n">
        <v>0</v>
      </c>
      <c r="V54" s="11" t="n">
        <v>1</v>
      </c>
      <c r="W54" s="11" t="n">
        <v>1</v>
      </c>
      <c r="X54" s="11" t="n">
        <v>1</v>
      </c>
      <c r="Y54" s="11" t="n">
        <v>1</v>
      </c>
    </row>
    <row r="55" ht="18" customHeight="1" s="26">
      <c r="A55" s="23" t="inlineStr">
        <is>
          <t>BT24CSE053</t>
        </is>
      </c>
      <c r="B55" s="5" t="inlineStr">
        <is>
          <t>Varun Menon</t>
        </is>
      </c>
      <c r="C55" s="6" t="n">
        <v>0</v>
      </c>
      <c r="D55" s="30" t="n">
        <v>75</v>
      </c>
      <c r="E55" s="31">
        <f>IF(C55=1,"N/A",IFERROR(ROUND(SUM(F55:XFD55)/SUMPRODUCT((F55:XFD55&lt;&gt;"")*IFERROR(VALUE(MID(F$2:XFD$2,FIND("(c",F$2:XFD$2)+2,2)),1))*100,2),0))</f>
        <v/>
      </c>
      <c r="F55" s="6" t="n">
        <v>1</v>
      </c>
      <c r="G55" s="6" t="n">
        <v>1</v>
      </c>
      <c r="H55" s="6" t="n">
        <v>1</v>
      </c>
      <c r="I55" s="6" t="n">
        <v>1</v>
      </c>
      <c r="J55" s="16" t="n">
        <v>0</v>
      </c>
      <c r="K55" s="6" t="n">
        <v>1</v>
      </c>
      <c r="L55" s="16" t="n">
        <v>0</v>
      </c>
      <c r="M55" s="6" t="n">
        <v>1</v>
      </c>
      <c r="N55" s="6" t="n">
        <v>1</v>
      </c>
      <c r="O55" s="6" t="n">
        <v>1</v>
      </c>
      <c r="P55" s="6" t="n">
        <v>1</v>
      </c>
      <c r="Q55" s="6" t="n">
        <v>1</v>
      </c>
      <c r="R55" s="6" t="n">
        <v>1</v>
      </c>
      <c r="S55" s="6" t="n">
        <v>1</v>
      </c>
      <c r="T55" s="16" t="n">
        <v>0</v>
      </c>
      <c r="U55" s="6" t="n">
        <v>1</v>
      </c>
      <c r="V55" s="6" t="n">
        <v>1</v>
      </c>
      <c r="W55" s="6" t="n">
        <v>1</v>
      </c>
      <c r="X55" s="16" t="n">
        <v>0</v>
      </c>
      <c r="Y55" s="16" t="n">
        <v>0</v>
      </c>
    </row>
    <row r="56" ht="18" customHeight="1" s="26">
      <c r="A56" s="24" t="inlineStr">
        <is>
          <t>BT24CSE054</t>
        </is>
      </c>
      <c r="B56" s="10" t="inlineStr">
        <is>
          <t>Varsha Nair</t>
        </is>
      </c>
      <c r="C56" s="11" t="n">
        <v>0</v>
      </c>
      <c r="D56" s="32" t="n">
        <v>75</v>
      </c>
      <c r="E56" s="33">
        <f>IF(C56=1,"N/A",IFERROR(ROUND(SUM(F56:XFD56)/SUMPRODUCT((F56:XFD56&lt;&gt;"")*IFERROR(VALUE(MID(F$2:XFD$2,FIND("(c",F$2:XFD$2)+2,2)),1))*100,2),0))</f>
        <v/>
      </c>
      <c r="F56" s="29" t="n">
        <v>0</v>
      </c>
      <c r="G56" s="29" t="n">
        <v>0</v>
      </c>
      <c r="H56" s="11" t="n">
        <v>1</v>
      </c>
      <c r="I56" s="11" t="n">
        <v>1</v>
      </c>
      <c r="J56" s="11" t="n">
        <v>1</v>
      </c>
      <c r="K56" s="29" t="n">
        <v>0</v>
      </c>
      <c r="L56" s="29" t="n">
        <v>0</v>
      </c>
      <c r="M56" s="11" t="n">
        <v>1</v>
      </c>
      <c r="N56" s="11" t="n">
        <v>1</v>
      </c>
      <c r="O56" s="11" t="n">
        <v>1</v>
      </c>
      <c r="P56" s="11" t="n">
        <v>1</v>
      </c>
      <c r="Q56" s="11" t="n">
        <v>1</v>
      </c>
      <c r="R56" s="11" t="n">
        <v>1</v>
      </c>
      <c r="S56" s="29" t="n">
        <v>0</v>
      </c>
      <c r="T56" s="11" t="n">
        <v>1</v>
      </c>
      <c r="U56" s="11" t="n">
        <v>1</v>
      </c>
      <c r="V56" s="11" t="n">
        <v>1</v>
      </c>
      <c r="W56" s="11" t="n">
        <v>1</v>
      </c>
      <c r="X56" s="11" t="n">
        <v>1</v>
      </c>
      <c r="Y56" s="11" t="n">
        <v>1</v>
      </c>
    </row>
    <row r="57" ht="18" customHeight="1" s="26">
      <c r="A57" s="23" t="inlineStr">
        <is>
          <t>BT24CSE055</t>
        </is>
      </c>
      <c r="B57" s="5" t="inlineStr">
        <is>
          <t>Aakash Joshi</t>
        </is>
      </c>
      <c r="C57" s="6" t="n">
        <v>0</v>
      </c>
      <c r="D57" s="30" t="n">
        <v>75</v>
      </c>
      <c r="E57" s="31">
        <f>IF(C57=1,"N/A",IFERROR(ROUND(SUM(F57:XFD57)/SUMPRODUCT((F57:XFD57&lt;&gt;"")*IFERROR(VALUE(MID(F$2:XFD$2,FIND("(c",F$2:XFD$2)+2,2)),1))*100,2),0))</f>
        <v/>
      </c>
      <c r="F57" s="6" t="n">
        <v>1</v>
      </c>
      <c r="G57" s="6" t="n">
        <v>1</v>
      </c>
      <c r="H57" s="6" t="n">
        <v>1</v>
      </c>
      <c r="I57" s="6" t="n">
        <v>1</v>
      </c>
      <c r="J57" s="6" t="n">
        <v>1</v>
      </c>
      <c r="K57" s="6" t="n">
        <v>1</v>
      </c>
      <c r="L57" s="6" t="n">
        <v>1</v>
      </c>
      <c r="M57" s="6" t="n">
        <v>1</v>
      </c>
      <c r="N57" s="6" t="n">
        <v>1</v>
      </c>
      <c r="O57" s="6" t="n">
        <v>1</v>
      </c>
      <c r="P57" s="6" t="n">
        <v>1</v>
      </c>
      <c r="Q57" s="6" t="n">
        <v>1</v>
      </c>
      <c r="R57" s="6" t="n">
        <v>1</v>
      </c>
      <c r="S57" s="6" t="n">
        <v>1</v>
      </c>
      <c r="T57" s="6" t="n">
        <v>1</v>
      </c>
      <c r="U57" s="6" t="n">
        <v>1</v>
      </c>
      <c r="V57" s="6" t="n">
        <v>1</v>
      </c>
      <c r="W57" s="6" t="n">
        <v>1</v>
      </c>
      <c r="X57" s="6" t="n">
        <v>1</v>
      </c>
      <c r="Y57" s="6" t="n">
        <v>1</v>
      </c>
    </row>
    <row r="58" ht="18" customHeight="1" s="26">
      <c r="A58" s="24" t="inlineStr">
        <is>
          <t>BT24CSE056</t>
        </is>
      </c>
      <c r="B58" s="10" t="inlineStr">
        <is>
          <t>Sachin Chavan</t>
        </is>
      </c>
      <c r="C58" s="11" t="n">
        <v>0</v>
      </c>
      <c r="D58" s="32" t="n">
        <v>75</v>
      </c>
      <c r="E58" s="33">
        <f>IF(C58=1,"N/A",IFERROR(ROUND(SUM(F58:XFD58)/SUMPRODUCT((F58:XFD58&lt;&gt;"")*IFERROR(VALUE(MID(F$2:XFD$2,FIND("(c",F$2:XFD$2)+2,2)),1))*100,2),0))</f>
        <v/>
      </c>
      <c r="F58" s="11" t="n">
        <v>1</v>
      </c>
      <c r="G58" s="11" t="n">
        <v>1</v>
      </c>
      <c r="H58" s="11" t="n">
        <v>1</v>
      </c>
      <c r="I58" s="11" t="n">
        <v>1</v>
      </c>
      <c r="J58" s="11" t="n">
        <v>1</v>
      </c>
      <c r="K58" s="11" t="n">
        <v>1</v>
      </c>
      <c r="L58" s="11" t="n">
        <v>1</v>
      </c>
      <c r="M58" s="11" t="n">
        <v>1</v>
      </c>
      <c r="N58" s="11" t="n">
        <v>1</v>
      </c>
      <c r="O58" s="11" t="n">
        <v>1</v>
      </c>
      <c r="P58" s="11" t="n">
        <v>1</v>
      </c>
      <c r="Q58" s="11" t="n">
        <v>1</v>
      </c>
      <c r="R58" s="11" t="n">
        <v>1</v>
      </c>
      <c r="S58" s="11" t="n">
        <v>1</v>
      </c>
      <c r="T58" s="11" t="n">
        <v>1</v>
      </c>
      <c r="U58" s="11" t="n">
        <v>1</v>
      </c>
      <c r="V58" s="11" t="n">
        <v>1</v>
      </c>
      <c r="W58" s="11" t="n">
        <v>1</v>
      </c>
      <c r="X58" s="11" t="n">
        <v>1</v>
      </c>
      <c r="Y58" s="29" t="n">
        <v>0</v>
      </c>
    </row>
    <row r="59" ht="18" customHeight="1" s="26">
      <c r="A59" s="23" t="inlineStr">
        <is>
          <t>BT24CSE057</t>
        </is>
      </c>
      <c r="B59" s="15" t="inlineStr">
        <is>
          <t>Nita Verma</t>
        </is>
      </c>
      <c r="C59" s="16" t="n">
        <v>1</v>
      </c>
      <c r="D59" s="30" t="n">
        <v>75</v>
      </c>
      <c r="E59" s="17" t="inlineStr">
        <is>
          <t>N/A</t>
        </is>
      </c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8" customHeight="1" s="26">
      <c r="A60" s="24" t="inlineStr">
        <is>
          <t>BT24CSE058</t>
        </is>
      </c>
      <c r="B60" s="10" t="inlineStr">
        <is>
          <t>Anjali Verma</t>
        </is>
      </c>
      <c r="C60" s="11" t="n">
        <v>0</v>
      </c>
      <c r="D60" s="32" t="n">
        <v>75</v>
      </c>
      <c r="E60" s="33">
        <f>IF(C60=1,"N/A",IFERROR(ROUND(SUM(F60:XFD60)/SUMPRODUCT((F60:XFD60&lt;&gt;"")*IFERROR(VALUE(MID(F$2:XFD$2,FIND("(c",F$2:XFD$2)+2,2)),1))*100,2),0))</f>
        <v/>
      </c>
      <c r="F60" s="29" t="n">
        <v>0</v>
      </c>
      <c r="G60" s="11" t="n">
        <v>1</v>
      </c>
      <c r="H60" s="29" t="n">
        <v>0</v>
      </c>
      <c r="I60" s="11" t="n">
        <v>1</v>
      </c>
      <c r="J60" s="11" t="n">
        <v>1</v>
      </c>
      <c r="K60" s="29" t="n">
        <v>0</v>
      </c>
      <c r="L60" s="29" t="n">
        <v>0</v>
      </c>
      <c r="M60" s="11" t="n">
        <v>1</v>
      </c>
      <c r="N60" s="11" t="n">
        <v>1</v>
      </c>
      <c r="O60" s="11" t="n">
        <v>1</v>
      </c>
      <c r="P60" s="11" t="n">
        <v>1</v>
      </c>
      <c r="Q60" s="11" t="n">
        <v>1</v>
      </c>
      <c r="R60" s="11" t="n">
        <v>1</v>
      </c>
      <c r="S60" s="11" t="n">
        <v>1</v>
      </c>
      <c r="T60" s="29" t="n">
        <v>0</v>
      </c>
      <c r="U60" s="11" t="n">
        <v>1</v>
      </c>
      <c r="V60" s="29" t="n">
        <v>0</v>
      </c>
      <c r="W60" s="29" t="n">
        <v>0</v>
      </c>
      <c r="X60" s="11" t="n">
        <v>1</v>
      </c>
      <c r="Y60" s="29" t="n">
        <v>0</v>
      </c>
    </row>
    <row r="61" ht="18" customHeight="1" s="26">
      <c r="A61" s="23" t="inlineStr">
        <is>
          <t>BT24CSE059</t>
        </is>
      </c>
      <c r="B61" s="5" t="inlineStr">
        <is>
          <t>Tanvi Srivastava</t>
        </is>
      </c>
      <c r="C61" s="6" t="n">
        <v>0</v>
      </c>
      <c r="D61" s="30" t="n">
        <v>75</v>
      </c>
      <c r="E61" s="31">
        <f>IF(C61=1,"N/A",IFERROR(ROUND(SUM(F61:XFD61)/SUMPRODUCT((F61:XFD61&lt;&gt;"")*IFERROR(VALUE(MID(F$2:XFD$2,FIND("(c",F$2:XFD$2)+2,2)),1))*100,2),0))</f>
        <v/>
      </c>
      <c r="F61" s="6" t="n">
        <v>1</v>
      </c>
      <c r="G61" s="6" t="n">
        <v>1</v>
      </c>
      <c r="H61" s="6" t="n">
        <v>1</v>
      </c>
      <c r="I61" s="6" t="n">
        <v>1</v>
      </c>
      <c r="J61" s="6" t="n">
        <v>1</v>
      </c>
      <c r="K61" s="6" t="n">
        <v>1</v>
      </c>
      <c r="L61" s="6" t="n">
        <v>1</v>
      </c>
      <c r="M61" s="6" t="n">
        <v>1</v>
      </c>
      <c r="N61" s="6" t="n">
        <v>1</v>
      </c>
      <c r="O61" s="6" t="n">
        <v>1</v>
      </c>
      <c r="P61" s="6" t="n">
        <v>1</v>
      </c>
      <c r="Q61" s="16" t="n">
        <v>0</v>
      </c>
      <c r="R61" s="6" t="n">
        <v>1</v>
      </c>
      <c r="S61" s="6" t="n">
        <v>1</v>
      </c>
      <c r="T61" s="16" t="n">
        <v>0</v>
      </c>
      <c r="U61" s="16" t="n">
        <v>0</v>
      </c>
      <c r="V61" s="6" t="n">
        <v>1</v>
      </c>
      <c r="W61" s="6" t="n">
        <v>1</v>
      </c>
      <c r="X61" s="6" t="n">
        <v>1</v>
      </c>
      <c r="Y61" s="6" t="n">
        <v>1</v>
      </c>
    </row>
    <row r="62" ht="18" customHeight="1" s="26">
      <c r="A62" s="24" t="inlineStr">
        <is>
          <t>BT24CSE060</t>
        </is>
      </c>
      <c r="B62" s="10" t="inlineStr">
        <is>
          <t>Madhuri Shinde</t>
        </is>
      </c>
      <c r="C62" s="11" t="n">
        <v>0</v>
      </c>
      <c r="D62" s="32" t="n">
        <v>75</v>
      </c>
      <c r="E62" s="33">
        <f>IF(C62=1,"N/A",IFERROR(ROUND(SUM(F62:XFD62)/SUMPRODUCT((F62:XFD62&lt;&gt;"")*IFERROR(VALUE(MID(F$2:XFD$2,FIND("(c",F$2:XFD$2)+2,2)),1))*100,2),0))</f>
        <v/>
      </c>
      <c r="F62" s="11" t="n">
        <v>1</v>
      </c>
      <c r="G62" s="11" t="n">
        <v>1</v>
      </c>
      <c r="H62" s="11" t="n">
        <v>1</v>
      </c>
      <c r="I62" s="11" t="n">
        <v>1</v>
      </c>
      <c r="J62" s="11" t="n">
        <v>1</v>
      </c>
      <c r="K62" s="11" t="n">
        <v>1</v>
      </c>
      <c r="L62" s="11" t="n">
        <v>1</v>
      </c>
      <c r="M62" s="11" t="n">
        <v>1</v>
      </c>
      <c r="N62" s="29" t="n">
        <v>0</v>
      </c>
      <c r="O62" s="11" t="n">
        <v>1</v>
      </c>
      <c r="P62" s="11" t="n">
        <v>1</v>
      </c>
      <c r="Q62" s="11" t="n">
        <v>1</v>
      </c>
      <c r="R62" s="29" t="n">
        <v>0</v>
      </c>
      <c r="S62" s="11" t="n">
        <v>1</v>
      </c>
      <c r="T62" s="11" t="n">
        <v>1</v>
      </c>
      <c r="U62" s="11" t="n">
        <v>1</v>
      </c>
      <c r="V62" s="11" t="n">
        <v>1</v>
      </c>
      <c r="W62" s="11" t="n">
        <v>1</v>
      </c>
      <c r="X62" s="11" t="n">
        <v>1</v>
      </c>
      <c r="Y62" s="11" t="n">
        <v>1</v>
      </c>
    </row>
    <row r="63" ht="18" customHeight="1" s="26">
      <c r="A63" s="23" t="inlineStr">
        <is>
          <t>BT24CSE061</t>
        </is>
      </c>
      <c r="B63" s="5" t="inlineStr">
        <is>
          <t>Anjali Srivastava</t>
        </is>
      </c>
      <c r="C63" s="6" t="n">
        <v>0</v>
      </c>
      <c r="D63" s="30" t="n">
        <v>75</v>
      </c>
      <c r="E63" s="31">
        <f>IF(C63=1,"N/A",IFERROR(ROUND(SUM(F63:XFD63)/SUMPRODUCT((F63:XFD63&lt;&gt;"")*IFERROR(VALUE(MID(F$2:XFD$2,FIND("(c",F$2:XFD$2)+2,2)),1))*100,2),0))</f>
        <v/>
      </c>
      <c r="F63" s="6" t="n">
        <v>1</v>
      </c>
      <c r="G63" s="6" t="n">
        <v>1</v>
      </c>
      <c r="H63" s="6" t="n">
        <v>1</v>
      </c>
      <c r="I63" s="6" t="n">
        <v>1</v>
      </c>
      <c r="J63" s="16" t="n">
        <v>0</v>
      </c>
      <c r="K63" s="6" t="n">
        <v>1</v>
      </c>
      <c r="L63" s="16" t="n">
        <v>0</v>
      </c>
      <c r="M63" s="16" t="n">
        <v>0</v>
      </c>
      <c r="N63" s="6" t="n">
        <v>1</v>
      </c>
      <c r="O63" s="6" t="n">
        <v>1</v>
      </c>
      <c r="P63" s="6" t="n">
        <v>1</v>
      </c>
      <c r="Q63" s="6" t="n">
        <v>1</v>
      </c>
      <c r="R63" s="6" t="n">
        <v>1</v>
      </c>
      <c r="S63" s="16" t="n">
        <v>0</v>
      </c>
      <c r="T63" s="6" t="n">
        <v>1</v>
      </c>
      <c r="U63" s="16" t="n">
        <v>0</v>
      </c>
      <c r="V63" s="6" t="n">
        <v>1</v>
      </c>
      <c r="W63" s="6" t="n">
        <v>1</v>
      </c>
      <c r="X63" s="6" t="n">
        <v>1</v>
      </c>
      <c r="Y63" s="6" t="n">
        <v>1</v>
      </c>
    </row>
    <row r="64" ht="18" customHeight="1" s="26">
      <c r="A64" s="24" t="inlineStr">
        <is>
          <t>BT24CSE062</t>
        </is>
      </c>
      <c r="B64" s="10" t="inlineStr">
        <is>
          <t>Nandini Jadhav</t>
        </is>
      </c>
      <c r="C64" s="11" t="n">
        <v>0</v>
      </c>
      <c r="D64" s="32" t="n">
        <v>75</v>
      </c>
      <c r="E64" s="33">
        <f>IF(C64=1,"N/A",IFERROR(ROUND(SUM(F64:XFD64)/SUMPRODUCT((F64:XFD64&lt;&gt;"")*IFERROR(VALUE(MID(F$2:XFD$2,FIND("(c",F$2:XFD$2)+2,2)),1))*100,2),0))</f>
        <v/>
      </c>
      <c r="F64" s="11" t="n">
        <v>1</v>
      </c>
      <c r="G64" s="11" t="n">
        <v>1</v>
      </c>
      <c r="H64" s="29" t="n">
        <v>0</v>
      </c>
      <c r="I64" s="11" t="n">
        <v>1</v>
      </c>
      <c r="J64" s="11" t="n">
        <v>1</v>
      </c>
      <c r="K64" s="11" t="n">
        <v>1</v>
      </c>
      <c r="L64" s="11" t="n">
        <v>1</v>
      </c>
      <c r="M64" s="11" t="n">
        <v>1</v>
      </c>
      <c r="N64" s="11" t="n">
        <v>1</v>
      </c>
      <c r="O64" s="11" t="n">
        <v>1</v>
      </c>
      <c r="P64" s="11" t="n">
        <v>1</v>
      </c>
      <c r="Q64" s="11" t="n">
        <v>1</v>
      </c>
      <c r="R64" s="11" t="n">
        <v>1</v>
      </c>
      <c r="S64" s="11" t="n">
        <v>1</v>
      </c>
      <c r="T64" s="11" t="n">
        <v>1</v>
      </c>
      <c r="U64" s="11" t="n">
        <v>1</v>
      </c>
      <c r="V64" s="11" t="n">
        <v>1</v>
      </c>
      <c r="W64" s="11" t="n">
        <v>1</v>
      </c>
      <c r="X64" s="11" t="n">
        <v>1</v>
      </c>
      <c r="Y64" s="11" t="n">
        <v>1</v>
      </c>
    </row>
    <row r="65" ht="18" customHeight="1" s="26">
      <c r="A65" s="23" t="inlineStr">
        <is>
          <t>BT24CSE063</t>
        </is>
      </c>
      <c r="B65" s="5" t="inlineStr">
        <is>
          <t>Nandini Chavan</t>
        </is>
      </c>
      <c r="C65" s="6" t="n">
        <v>0</v>
      </c>
      <c r="D65" s="30" t="n">
        <v>75</v>
      </c>
      <c r="E65" s="31">
        <f>IF(C65=1,"N/A",IFERROR(ROUND(SUM(F65:XFD65)/SUMPRODUCT((F65:XFD65&lt;&gt;"")*IFERROR(VALUE(MID(F$2:XFD$2,FIND("(c",F$2:XFD$2)+2,2)),1))*100,2),0))</f>
        <v/>
      </c>
      <c r="F65" s="6" t="n">
        <v>1</v>
      </c>
      <c r="G65" s="6" t="n">
        <v>1</v>
      </c>
      <c r="H65" s="6" t="n">
        <v>1</v>
      </c>
      <c r="I65" s="6" t="n">
        <v>1</v>
      </c>
      <c r="J65" s="6" t="n">
        <v>1</v>
      </c>
      <c r="K65" s="16" t="n">
        <v>0</v>
      </c>
      <c r="L65" s="16" t="n">
        <v>0</v>
      </c>
      <c r="M65" s="6" t="n">
        <v>1</v>
      </c>
      <c r="N65" s="6" t="n">
        <v>1</v>
      </c>
      <c r="O65" s="6" t="n">
        <v>1</v>
      </c>
      <c r="P65" s="6" t="n">
        <v>1</v>
      </c>
      <c r="Q65" s="16" t="n">
        <v>0</v>
      </c>
      <c r="R65" s="6" t="n">
        <v>1</v>
      </c>
      <c r="S65" s="6" t="n">
        <v>1</v>
      </c>
      <c r="T65" s="6" t="n">
        <v>1</v>
      </c>
      <c r="U65" s="16" t="n">
        <v>0</v>
      </c>
      <c r="V65" s="6" t="n">
        <v>1</v>
      </c>
      <c r="W65" s="6" t="n">
        <v>1</v>
      </c>
      <c r="X65" s="6" t="n">
        <v>1</v>
      </c>
      <c r="Y65" s="16" t="n">
        <v>0</v>
      </c>
    </row>
    <row r="66" ht="18" customHeight="1" s="26">
      <c r="A66" s="24" t="inlineStr">
        <is>
          <t>BT24CSE064</t>
        </is>
      </c>
      <c r="B66" s="10" t="inlineStr">
        <is>
          <t>Shaan Shah</t>
        </is>
      </c>
      <c r="C66" s="11" t="n">
        <v>0</v>
      </c>
      <c r="D66" s="32" t="n">
        <v>75</v>
      </c>
      <c r="E66" s="33">
        <f>IF(C66=1,"N/A",IFERROR(ROUND(SUM(F66:XFD66)/SUMPRODUCT((F66:XFD66&lt;&gt;"")*IFERROR(VALUE(MID(F$2:XFD$2,FIND("(c",F$2:XFD$2)+2,2)),1))*100,2),0))</f>
        <v/>
      </c>
      <c r="F66" s="11" t="n">
        <v>1</v>
      </c>
      <c r="G66" s="29" t="n">
        <v>0</v>
      </c>
      <c r="H66" s="11" t="n">
        <v>1</v>
      </c>
      <c r="I66" s="11" t="n">
        <v>1</v>
      </c>
      <c r="J66" s="11" t="n">
        <v>1</v>
      </c>
      <c r="K66" s="11" t="n">
        <v>1</v>
      </c>
      <c r="L66" s="11" t="n">
        <v>1</v>
      </c>
      <c r="M66" s="11" t="n">
        <v>1</v>
      </c>
      <c r="N66" s="11" t="n">
        <v>1</v>
      </c>
      <c r="O66" s="11" t="n">
        <v>1</v>
      </c>
      <c r="P66" s="11" t="n">
        <v>1</v>
      </c>
      <c r="Q66" s="29" t="n">
        <v>0</v>
      </c>
      <c r="R66" s="11" t="n">
        <v>1</v>
      </c>
      <c r="S66" s="11" t="n">
        <v>1</v>
      </c>
      <c r="T66" s="11" t="n">
        <v>1</v>
      </c>
      <c r="U66" s="11" t="n">
        <v>1</v>
      </c>
      <c r="V66" s="29" t="n">
        <v>0</v>
      </c>
      <c r="W66" s="11" t="n">
        <v>1</v>
      </c>
      <c r="X66" s="11" t="n">
        <v>1</v>
      </c>
      <c r="Y66" s="29" t="n">
        <v>0</v>
      </c>
    </row>
    <row r="67" ht="18" customHeight="1" s="26">
      <c r="A67" s="23" t="inlineStr">
        <is>
          <t>BT24CSE065</t>
        </is>
      </c>
      <c r="B67" s="5" t="inlineStr">
        <is>
          <t>Kavya Patil</t>
        </is>
      </c>
      <c r="C67" s="6" t="n">
        <v>0</v>
      </c>
      <c r="D67" s="30" t="n">
        <v>75</v>
      </c>
      <c r="E67" s="31">
        <f>IF(C67=1,"N/A",IFERROR(ROUND(SUM(F67:XFD67)/SUMPRODUCT((F67:XFD67&lt;&gt;"")*IFERROR(VALUE(MID(F$2:XFD$2,FIND("(c",F$2:XFD$2)+2,2)),1))*100,2),0))</f>
        <v/>
      </c>
      <c r="F67" s="16" t="n">
        <v>0</v>
      </c>
      <c r="G67" s="6" t="n">
        <v>1</v>
      </c>
      <c r="H67" s="6" t="n">
        <v>1</v>
      </c>
      <c r="I67" s="6" t="n">
        <v>1</v>
      </c>
      <c r="J67" s="6" t="n">
        <v>1</v>
      </c>
      <c r="K67" s="6" t="n">
        <v>1</v>
      </c>
      <c r="L67" s="6" t="n">
        <v>1</v>
      </c>
      <c r="M67" s="16" t="n">
        <v>0</v>
      </c>
      <c r="N67" s="6" t="n">
        <v>1</v>
      </c>
      <c r="O67" s="16" t="n">
        <v>0</v>
      </c>
      <c r="P67" s="6" t="n">
        <v>1</v>
      </c>
      <c r="Q67" s="6" t="n">
        <v>1</v>
      </c>
      <c r="R67" s="6" t="n">
        <v>1</v>
      </c>
      <c r="S67" s="6" t="n">
        <v>1</v>
      </c>
      <c r="T67" s="6" t="n">
        <v>1</v>
      </c>
      <c r="U67" s="6" t="n">
        <v>1</v>
      </c>
      <c r="V67" s="6" t="n">
        <v>1</v>
      </c>
      <c r="W67" s="6" t="n">
        <v>1</v>
      </c>
      <c r="X67" s="6" t="n">
        <v>1</v>
      </c>
      <c r="Y67" s="6" t="n">
        <v>1</v>
      </c>
    </row>
    <row r="68" ht="18" customHeight="1" s="26">
      <c r="A68" s="24" t="inlineStr">
        <is>
          <t>BT24CSE066</t>
        </is>
      </c>
      <c r="B68" s="10" t="inlineStr">
        <is>
          <t>Sachin Singh</t>
        </is>
      </c>
      <c r="C68" s="11" t="n">
        <v>0</v>
      </c>
      <c r="D68" s="32" t="n">
        <v>75</v>
      </c>
      <c r="E68" s="33">
        <f>IF(C68=1,"N/A",IFERROR(ROUND(SUM(F68:XFD68)/SUMPRODUCT((F68:XFD68&lt;&gt;"")*IFERROR(VALUE(MID(F$2:XFD$2,FIND("(c",F$2:XFD$2)+2,2)),1))*100,2),0))</f>
        <v/>
      </c>
      <c r="F68" s="11" t="n">
        <v>1</v>
      </c>
      <c r="G68" s="29" t="n">
        <v>0</v>
      </c>
      <c r="H68" s="11" t="n">
        <v>1</v>
      </c>
      <c r="I68" s="29" t="n">
        <v>0</v>
      </c>
      <c r="J68" s="11" t="n">
        <v>1</v>
      </c>
      <c r="K68" s="29" t="n">
        <v>0</v>
      </c>
      <c r="L68" s="29" t="n">
        <v>0</v>
      </c>
      <c r="M68" s="11" t="n">
        <v>1</v>
      </c>
      <c r="N68" s="11" t="n">
        <v>1</v>
      </c>
      <c r="O68" s="11" t="n">
        <v>1</v>
      </c>
      <c r="P68" s="11" t="n">
        <v>1</v>
      </c>
      <c r="Q68" s="29" t="n">
        <v>0</v>
      </c>
      <c r="R68" s="29" t="n">
        <v>0</v>
      </c>
      <c r="S68" s="29" t="n">
        <v>0</v>
      </c>
      <c r="T68" s="11" t="n">
        <v>1</v>
      </c>
      <c r="U68" s="11" t="n">
        <v>1</v>
      </c>
      <c r="V68" s="11" t="n">
        <v>1</v>
      </c>
      <c r="W68" s="29" t="n">
        <v>0</v>
      </c>
      <c r="X68" s="11" t="n">
        <v>1</v>
      </c>
      <c r="Y68" s="11" t="n">
        <v>1</v>
      </c>
    </row>
    <row r="69" ht="18" customHeight="1" s="26">
      <c r="A69" s="23" t="inlineStr">
        <is>
          <t>BT24CSE067</t>
        </is>
      </c>
      <c r="B69" s="5" t="inlineStr">
        <is>
          <t>Rohan Reddy</t>
        </is>
      </c>
      <c r="C69" s="6" t="n">
        <v>0</v>
      </c>
      <c r="D69" s="30" t="n">
        <v>75</v>
      </c>
      <c r="E69" s="31">
        <f>IF(C69=1,"N/A",IFERROR(ROUND(SUM(F69:XFD69)/SUMPRODUCT((F69:XFD69&lt;&gt;"")*IFERROR(VALUE(MID(F$2:XFD$2,FIND("(c",F$2:XFD$2)+2,2)),1))*100,2),0))</f>
        <v/>
      </c>
      <c r="F69" s="16" t="n">
        <v>0</v>
      </c>
      <c r="G69" s="16" t="n">
        <v>0</v>
      </c>
      <c r="H69" s="6" t="n">
        <v>1</v>
      </c>
      <c r="I69" s="6" t="n">
        <v>1</v>
      </c>
      <c r="J69" s="6" t="n">
        <v>1</v>
      </c>
      <c r="K69" s="16" t="n">
        <v>0</v>
      </c>
      <c r="L69" s="6" t="n">
        <v>1</v>
      </c>
      <c r="M69" s="6" t="n">
        <v>1</v>
      </c>
      <c r="N69" s="16" t="n">
        <v>0</v>
      </c>
      <c r="O69" s="6" t="n">
        <v>1</v>
      </c>
      <c r="P69" s="6" t="n">
        <v>1</v>
      </c>
      <c r="Q69" s="6" t="n">
        <v>1</v>
      </c>
      <c r="R69" s="6" t="n">
        <v>1</v>
      </c>
      <c r="S69" s="6" t="n">
        <v>1</v>
      </c>
      <c r="T69" s="6" t="n">
        <v>1</v>
      </c>
      <c r="U69" s="6" t="n">
        <v>1</v>
      </c>
      <c r="V69" s="16" t="n">
        <v>0</v>
      </c>
      <c r="W69" s="6" t="n">
        <v>1</v>
      </c>
      <c r="X69" s="6" t="n">
        <v>1</v>
      </c>
      <c r="Y69" s="16" t="n">
        <v>0</v>
      </c>
    </row>
    <row r="70" ht="18" customHeight="1" s="26">
      <c r="A70" s="24" t="inlineStr">
        <is>
          <t>BT24CSE068</t>
        </is>
      </c>
      <c r="B70" s="10" t="inlineStr">
        <is>
          <t>Neha Verma</t>
        </is>
      </c>
      <c r="C70" s="11" t="n">
        <v>0</v>
      </c>
      <c r="D70" s="32" t="n">
        <v>75</v>
      </c>
      <c r="E70" s="33">
        <f>IF(C70=1,"N/A",IFERROR(ROUND(SUM(F70:XFD70)/SUMPRODUCT((F70:XFD70&lt;&gt;"")*IFERROR(VALUE(MID(F$2:XFD$2,FIND("(c",F$2:XFD$2)+2,2)),1))*100,2),0))</f>
        <v/>
      </c>
      <c r="F70" s="29" t="n">
        <v>0</v>
      </c>
      <c r="G70" s="11" t="n">
        <v>1</v>
      </c>
      <c r="H70" s="11" t="n">
        <v>1</v>
      </c>
      <c r="I70" s="11" t="n">
        <v>1</v>
      </c>
      <c r="J70" s="11" t="n">
        <v>1</v>
      </c>
      <c r="K70" s="29" t="n">
        <v>0</v>
      </c>
      <c r="L70" s="11" t="n">
        <v>1</v>
      </c>
      <c r="M70" s="11" t="n">
        <v>1</v>
      </c>
      <c r="N70" s="11" t="n">
        <v>1</v>
      </c>
      <c r="O70" s="11" t="n">
        <v>1</v>
      </c>
      <c r="P70" s="11" t="n">
        <v>1</v>
      </c>
      <c r="Q70" s="11" t="n">
        <v>1</v>
      </c>
      <c r="R70" s="11" t="n">
        <v>1</v>
      </c>
      <c r="S70" s="29" t="n">
        <v>0</v>
      </c>
      <c r="T70" s="11" t="n">
        <v>1</v>
      </c>
      <c r="U70" s="11" t="n">
        <v>1</v>
      </c>
      <c r="V70" s="11" t="n">
        <v>1</v>
      </c>
      <c r="W70" s="11" t="n">
        <v>1</v>
      </c>
      <c r="X70" s="11" t="n">
        <v>1</v>
      </c>
      <c r="Y70" s="11" t="n">
        <v>1</v>
      </c>
    </row>
    <row r="71" ht="18" customHeight="1" s="26">
      <c r="A71" s="23" t="inlineStr">
        <is>
          <t>BT24CSE069</t>
        </is>
      </c>
      <c r="B71" s="5" t="inlineStr">
        <is>
          <t>Ishaan Chauhan</t>
        </is>
      </c>
      <c r="C71" s="6" t="n">
        <v>0</v>
      </c>
      <c r="D71" s="30" t="n">
        <v>75</v>
      </c>
      <c r="E71" s="31">
        <f>IF(C71=1,"N/A",IFERROR(ROUND(SUM(F71:XFD71)/SUMPRODUCT((F71:XFD71&lt;&gt;"")*IFERROR(VALUE(MID(F$2:XFD$2,FIND("(c",F$2:XFD$2)+2,2)),1))*100,2),0))</f>
        <v/>
      </c>
      <c r="F71" s="6" t="n">
        <v>1</v>
      </c>
      <c r="G71" s="6" t="n">
        <v>1</v>
      </c>
      <c r="H71" s="6" t="n">
        <v>1</v>
      </c>
      <c r="I71" s="6" t="n">
        <v>1</v>
      </c>
      <c r="J71" s="6" t="n">
        <v>1</v>
      </c>
      <c r="K71" s="16" t="n">
        <v>0</v>
      </c>
      <c r="L71" s="6" t="n">
        <v>1</v>
      </c>
      <c r="M71" s="6" t="n">
        <v>1</v>
      </c>
      <c r="N71" s="6" t="n">
        <v>1</v>
      </c>
      <c r="O71" s="6" t="n">
        <v>1</v>
      </c>
      <c r="P71" s="6" t="n">
        <v>1</v>
      </c>
      <c r="Q71" s="6" t="n">
        <v>1</v>
      </c>
      <c r="R71" s="6" t="n">
        <v>1</v>
      </c>
      <c r="S71" s="6" t="n">
        <v>1</v>
      </c>
      <c r="T71" s="6" t="n">
        <v>1</v>
      </c>
      <c r="U71" s="6" t="n">
        <v>1</v>
      </c>
      <c r="V71" s="6" t="n">
        <v>1</v>
      </c>
      <c r="W71" s="16" t="n">
        <v>0</v>
      </c>
      <c r="X71" s="6" t="n">
        <v>1</v>
      </c>
      <c r="Y71" s="6" t="n">
        <v>1</v>
      </c>
    </row>
    <row r="72" ht="18" customHeight="1" s="26">
      <c r="A72" s="24" t="inlineStr">
        <is>
          <t>BT24CSE070</t>
        </is>
      </c>
      <c r="B72" s="10" t="inlineStr">
        <is>
          <t>Geeta Deshpande</t>
        </is>
      </c>
      <c r="C72" s="11" t="n">
        <v>0</v>
      </c>
      <c r="D72" s="32" t="n">
        <v>75</v>
      </c>
      <c r="E72" s="33">
        <f>IF(C72=1,"N/A",IFERROR(ROUND(SUM(F72:XFD72)/SUMPRODUCT((F72:XFD72&lt;&gt;"")*IFERROR(VALUE(MID(F$2:XFD$2,FIND("(c",F$2:XFD$2)+2,2)),1))*100,2),0))</f>
        <v/>
      </c>
      <c r="F72" s="11" t="n">
        <v>1</v>
      </c>
      <c r="G72" s="29" t="n">
        <v>0</v>
      </c>
      <c r="H72" s="11" t="n">
        <v>1</v>
      </c>
      <c r="I72" s="11" t="n">
        <v>1</v>
      </c>
      <c r="J72" s="11" t="n">
        <v>1</v>
      </c>
      <c r="K72" s="11" t="n">
        <v>1</v>
      </c>
      <c r="L72" s="29" t="n">
        <v>0</v>
      </c>
      <c r="M72" s="11" t="n">
        <v>1</v>
      </c>
      <c r="N72" s="11" t="n">
        <v>1</v>
      </c>
      <c r="O72" s="11" t="n">
        <v>1</v>
      </c>
      <c r="P72" s="11" t="n">
        <v>1</v>
      </c>
      <c r="Q72" s="11" t="n">
        <v>1</v>
      </c>
      <c r="R72" s="11" t="n">
        <v>1</v>
      </c>
      <c r="S72" s="11" t="n">
        <v>1</v>
      </c>
      <c r="T72" s="11" t="n">
        <v>1</v>
      </c>
      <c r="U72" s="11" t="n">
        <v>1</v>
      </c>
      <c r="V72" s="11" t="n">
        <v>1</v>
      </c>
      <c r="W72" s="11" t="n">
        <v>1</v>
      </c>
      <c r="X72" s="29" t="n">
        <v>0</v>
      </c>
      <c r="Y72" s="11" t="n">
        <v>1</v>
      </c>
    </row>
    <row r="73" ht="18" customHeight="1" s="26">
      <c r="A73" s="23" t="inlineStr">
        <is>
          <t>BT24CSE071</t>
        </is>
      </c>
      <c r="B73" s="5" t="inlineStr">
        <is>
          <t>Karan Chavan</t>
        </is>
      </c>
      <c r="C73" s="6" t="n">
        <v>0</v>
      </c>
      <c r="D73" s="30" t="n">
        <v>75</v>
      </c>
      <c r="E73" s="31">
        <f>IF(C73=1,"N/A",IFERROR(ROUND(SUM(F73:XFD73)/SUMPRODUCT((F73:XFD73&lt;&gt;"")*IFERROR(VALUE(MID(F$2:XFD$2,FIND("(c",F$2:XFD$2)+2,2)),1))*100,2),0))</f>
        <v/>
      </c>
      <c r="F73" s="6" t="n">
        <v>1</v>
      </c>
      <c r="G73" s="6" t="n">
        <v>1</v>
      </c>
      <c r="H73" s="6" t="n">
        <v>1</v>
      </c>
      <c r="I73" s="6" t="n">
        <v>1</v>
      </c>
      <c r="J73" s="16" t="n">
        <v>0</v>
      </c>
      <c r="K73" s="6" t="n">
        <v>1</v>
      </c>
      <c r="L73" s="6" t="n">
        <v>1</v>
      </c>
      <c r="M73" s="6" t="n">
        <v>1</v>
      </c>
      <c r="N73" s="6" t="n">
        <v>1</v>
      </c>
      <c r="O73" s="6" t="n">
        <v>1</v>
      </c>
      <c r="P73" s="6" t="n">
        <v>1</v>
      </c>
      <c r="Q73" s="6" t="n">
        <v>1</v>
      </c>
      <c r="R73" s="16" t="n">
        <v>0</v>
      </c>
      <c r="S73" s="6" t="n">
        <v>1</v>
      </c>
      <c r="T73" s="16" t="n">
        <v>0</v>
      </c>
      <c r="U73" s="6" t="n">
        <v>1</v>
      </c>
      <c r="V73" s="6" t="n">
        <v>1</v>
      </c>
      <c r="W73" s="6" t="n">
        <v>1</v>
      </c>
      <c r="X73" s="6" t="n">
        <v>1</v>
      </c>
      <c r="Y73" s="6" t="n">
        <v>1</v>
      </c>
    </row>
    <row r="74" ht="18" customHeight="1" s="26">
      <c r="A74" s="24" t="inlineStr">
        <is>
          <t>BT24CSE072</t>
        </is>
      </c>
      <c r="B74" s="10" t="inlineStr">
        <is>
          <t>Rishi Deshpande</t>
        </is>
      </c>
      <c r="C74" s="11" t="n">
        <v>0</v>
      </c>
      <c r="D74" s="32" t="n">
        <v>75</v>
      </c>
      <c r="E74" s="33">
        <f>IF(C74=1,"N/A",IFERROR(ROUND(SUM(F74:XFD74)/SUMPRODUCT((F74:XFD74&lt;&gt;"")*IFERROR(VALUE(MID(F$2:XFD$2,FIND("(c",F$2:XFD$2)+2,2)),1))*100,2),0))</f>
        <v/>
      </c>
      <c r="F74" s="11" t="n">
        <v>1</v>
      </c>
      <c r="G74" s="29" t="n">
        <v>0</v>
      </c>
      <c r="H74" s="11" t="n">
        <v>1</v>
      </c>
      <c r="I74" s="11" t="n">
        <v>1</v>
      </c>
      <c r="J74" s="11" t="n">
        <v>1</v>
      </c>
      <c r="K74" s="29" t="n">
        <v>0</v>
      </c>
      <c r="L74" s="11" t="n">
        <v>1</v>
      </c>
      <c r="M74" s="29" t="n">
        <v>0</v>
      </c>
      <c r="N74" s="11" t="n">
        <v>1</v>
      </c>
      <c r="O74" s="29" t="n">
        <v>0</v>
      </c>
      <c r="P74" s="11" t="n">
        <v>1</v>
      </c>
      <c r="Q74" s="11" t="n">
        <v>1</v>
      </c>
      <c r="R74" s="29" t="n">
        <v>0</v>
      </c>
      <c r="S74" s="11" t="n">
        <v>1</v>
      </c>
      <c r="T74" s="29" t="n">
        <v>0</v>
      </c>
      <c r="U74" s="11" t="n">
        <v>1</v>
      </c>
      <c r="V74" s="11" t="n">
        <v>1</v>
      </c>
      <c r="W74" s="11" t="n">
        <v>1</v>
      </c>
      <c r="X74" s="29" t="n">
        <v>0</v>
      </c>
      <c r="Y74" s="11" t="n">
        <v>1</v>
      </c>
    </row>
    <row r="75" ht="18" customHeight="1" s="26">
      <c r="A75" s="23" t="inlineStr">
        <is>
          <t>BT24CSE073</t>
        </is>
      </c>
      <c r="B75" s="5" t="inlineStr">
        <is>
          <t>Smita Patil</t>
        </is>
      </c>
      <c r="C75" s="6" t="n">
        <v>0</v>
      </c>
      <c r="D75" s="30" t="n">
        <v>75</v>
      </c>
      <c r="E75" s="31">
        <f>IF(C75=1,"N/A",IFERROR(ROUND(SUM(F75:XFD75)/SUMPRODUCT((F75:XFD75&lt;&gt;"")*IFERROR(VALUE(MID(F$2:XFD$2,FIND("(c",F$2:XFD$2)+2,2)),1))*100,2),0))</f>
        <v/>
      </c>
      <c r="F75" s="6" t="n">
        <v>1</v>
      </c>
      <c r="G75" s="6" t="n">
        <v>1</v>
      </c>
      <c r="H75" s="6" t="n">
        <v>1</v>
      </c>
      <c r="I75" s="6" t="n">
        <v>1</v>
      </c>
      <c r="J75" s="6" t="n">
        <v>1</v>
      </c>
      <c r="K75" s="6" t="n">
        <v>1</v>
      </c>
      <c r="L75" s="6" t="n">
        <v>1</v>
      </c>
      <c r="M75" s="6" t="n">
        <v>1</v>
      </c>
      <c r="N75" s="6" t="n">
        <v>1</v>
      </c>
      <c r="O75" s="16" t="n">
        <v>0</v>
      </c>
      <c r="P75" s="6" t="n">
        <v>1</v>
      </c>
      <c r="Q75" s="16" t="n">
        <v>0</v>
      </c>
      <c r="R75" s="6" t="n">
        <v>1</v>
      </c>
      <c r="S75" s="16" t="n">
        <v>0</v>
      </c>
      <c r="T75" s="16" t="n">
        <v>0</v>
      </c>
      <c r="U75" s="6" t="n">
        <v>1</v>
      </c>
      <c r="V75" s="6" t="n">
        <v>1</v>
      </c>
      <c r="W75" s="6" t="n">
        <v>1</v>
      </c>
      <c r="X75" s="16" t="n">
        <v>0</v>
      </c>
      <c r="Y75" s="6" t="n">
        <v>1</v>
      </c>
    </row>
    <row r="76" ht="18" customHeight="1" s="26">
      <c r="A76" s="24" t="inlineStr">
        <is>
          <t>BT24CSE074</t>
        </is>
      </c>
      <c r="B76" s="10" t="inlineStr">
        <is>
          <t>Swati Shinde</t>
        </is>
      </c>
      <c r="C76" s="11" t="n">
        <v>0</v>
      </c>
      <c r="D76" s="32" t="n">
        <v>75</v>
      </c>
      <c r="E76" s="33">
        <f>IF(C76=1,"N/A",IFERROR(ROUND(SUM(F76:XFD76)/SUMPRODUCT((F76:XFD76&lt;&gt;"")*IFERROR(VALUE(MID(F$2:XFD$2,FIND("(c",F$2:XFD$2)+2,2)),1))*100,2),0))</f>
        <v/>
      </c>
      <c r="F76" s="29" t="n">
        <v>0</v>
      </c>
      <c r="G76" s="11" t="n">
        <v>1</v>
      </c>
      <c r="H76" s="11" t="n">
        <v>1</v>
      </c>
      <c r="I76" s="11" t="n">
        <v>1</v>
      </c>
      <c r="J76" s="11" t="n">
        <v>1</v>
      </c>
      <c r="K76" s="11" t="n">
        <v>1</v>
      </c>
      <c r="L76" s="11" t="n">
        <v>1</v>
      </c>
      <c r="M76" s="11" t="n">
        <v>1</v>
      </c>
      <c r="N76" s="11" t="n">
        <v>1</v>
      </c>
      <c r="O76" s="11" t="n">
        <v>1</v>
      </c>
      <c r="P76" s="11" t="n">
        <v>1</v>
      </c>
      <c r="Q76" s="11" t="n">
        <v>1</v>
      </c>
      <c r="R76" s="29" t="n">
        <v>0</v>
      </c>
      <c r="S76" s="11" t="n">
        <v>1</v>
      </c>
      <c r="T76" s="11" t="n">
        <v>1</v>
      </c>
      <c r="U76" s="11" t="n">
        <v>1</v>
      </c>
      <c r="V76" s="11" t="n">
        <v>1</v>
      </c>
      <c r="W76" s="11" t="n">
        <v>1</v>
      </c>
      <c r="X76" s="11" t="n">
        <v>1</v>
      </c>
      <c r="Y76" s="11" t="n">
        <v>1</v>
      </c>
    </row>
    <row r="77" ht="18" customHeight="1" s="26">
      <c r="A77" s="23" t="inlineStr">
        <is>
          <t>BT24CSE075</t>
        </is>
      </c>
      <c r="B77" s="5" t="inlineStr">
        <is>
          <t>Vivaan Pandey</t>
        </is>
      </c>
      <c r="C77" s="6" t="n">
        <v>0</v>
      </c>
      <c r="D77" s="30" t="n">
        <v>75</v>
      </c>
      <c r="E77" s="31">
        <f>IF(C77=1,"N/A",IFERROR(ROUND(SUM(F77:XFD77)/SUMPRODUCT((F77:XFD77&lt;&gt;"")*IFERROR(VALUE(MID(F$2:XFD$2,FIND("(c",F$2:XFD$2)+2,2)),1))*100,2),0))</f>
        <v/>
      </c>
      <c r="F77" s="6" t="n">
        <v>1</v>
      </c>
      <c r="G77" s="6" t="n">
        <v>1</v>
      </c>
      <c r="H77" s="6" t="n">
        <v>1</v>
      </c>
      <c r="I77" s="6" t="n">
        <v>1</v>
      </c>
      <c r="J77" s="6" t="n">
        <v>1</v>
      </c>
      <c r="K77" s="6" t="n">
        <v>1</v>
      </c>
      <c r="L77" s="6" t="n">
        <v>1</v>
      </c>
      <c r="M77" s="6" t="n">
        <v>1</v>
      </c>
      <c r="N77" s="16" t="n">
        <v>0</v>
      </c>
      <c r="O77" s="6" t="n">
        <v>1</v>
      </c>
      <c r="P77" s="16" t="n">
        <v>0</v>
      </c>
      <c r="Q77" s="6" t="n">
        <v>1</v>
      </c>
      <c r="R77" s="6" t="n">
        <v>1</v>
      </c>
      <c r="S77" s="16" t="n">
        <v>0</v>
      </c>
      <c r="T77" s="6" t="n">
        <v>1</v>
      </c>
      <c r="U77" s="16" t="n">
        <v>0</v>
      </c>
      <c r="V77" s="6" t="n">
        <v>1</v>
      </c>
      <c r="W77" s="6" t="n">
        <v>1</v>
      </c>
      <c r="X77" s="6" t="n">
        <v>1</v>
      </c>
      <c r="Y77" s="16" t="n">
        <v>0</v>
      </c>
    </row>
    <row r="78"/>
    <row r="79"/>
    <row r="80"/>
    <row r="81"/>
    <row r="82"/>
    <row r="83" ht="21.75" customHeight="1" s="26">
      <c r="A83" s="27" t="inlineStr">
        <is>
          <t>Holiday / Event Register</t>
        </is>
      </c>
      <c r="B83" s="28" t="n"/>
    </row>
    <row r="84" ht="18" customHeight="1" s="26">
      <c r="A84" s="18" t="inlineStr">
        <is>
          <t>Holiday Date</t>
        </is>
      </c>
      <c r="B84" s="18" t="inlineStr">
        <is>
          <t>Holiday / Event Name</t>
        </is>
      </c>
    </row>
    <row r="85" ht="18" customHeight="1" s="26">
      <c r="A85" s="19" t="inlineStr">
        <is>
          <t>26-01-2026</t>
        </is>
      </c>
      <c r="B85" s="5" t="inlineStr">
        <is>
          <t>Republic Day</t>
        </is>
      </c>
    </row>
    <row r="86" ht="18" customHeight="1" s="26">
      <c r="A86" s="20" t="inlineStr">
        <is>
          <t>14-02-2026</t>
        </is>
      </c>
      <c r="B86" s="10" t="inlineStr">
        <is>
          <t>College Annual Day</t>
        </is>
      </c>
    </row>
    <row r="87" ht="18" customHeight="1" s="26">
      <c r="A87" s="19" t="inlineStr">
        <is>
          <t>18-02-2026</t>
        </is>
      </c>
      <c r="B87" s="5" t="inlineStr">
        <is>
          <t>Department Seminar</t>
        </is>
      </c>
    </row>
    <row r="88" ht="18" customHeight="1" s="26">
      <c r="A88" s="20" t="inlineStr">
        <is>
          <t>10-03-2026</t>
        </is>
      </c>
      <c r="B88" s="10" t="inlineStr">
        <is>
          <t>Holi Holiday</t>
        </is>
      </c>
    </row>
    <row r="89" ht="18" customHeight="1" s="26">
      <c r="A89" s="19" t="inlineStr">
        <is>
          <t>25-03-2026</t>
        </is>
      </c>
      <c r="B89" s="5" t="inlineStr">
        <is>
          <t>Tech Fest – Day 1</t>
        </is>
      </c>
    </row>
    <row r="90" ht="18" customHeight="1" s="26">
      <c r="A90" s="20" t="inlineStr">
        <is>
          <t>26-03-2026</t>
        </is>
      </c>
      <c r="B90" s="10" t="inlineStr">
        <is>
          <t>Tech Fest – Day 2</t>
        </is>
      </c>
    </row>
  </sheetData>
  <mergeCells count="2">
    <mergeCell ref="A1:E1"/>
    <mergeCell ref="A83:B83"/>
  </mergeCells>
  <conditionalFormatting sqref="E3:E77">
    <cfRule type="expression" priority="7" dxfId="2">
      <formula>AND(E3&lt;&gt;"N/A",E3&lt;D3)</formula>
    </cfRule>
    <cfRule type="expression" priority="6" dxfId="3">
      <formula>C3=1</formula>
    </cfRule>
  </conditionalFormatting>
  <conditionalFormatting sqref="F3:Y77">
    <cfRule type="cellIs" priority="2" operator="equal" dxfId="1">
      <formula>1</formula>
    </cfRule>
    <cfRule type="cellIs" priority="3" operator="equal" dxfId="0">
      <formula>0</formula>
    </cfRule>
  </conditionalFormatting>
  <conditionalFormatting sqref="B3:B77">
    <cfRule type="expression" priority="5" dxfId="3">
      <formula>C3=1</formula>
    </cfRule>
  </conditionalFormatting>
  <conditionalFormatting sqref="C3:C77">
    <cfRule type="expression" priority="4" dxfId="0">
      <formula>C3=1</formula>
    </cfRule>
  </conditionalFormatting>
  <pageMargins left="0.25" right="0.25" top="0.75" bottom="0.75" header="0.3" footer="0.3"/>
  <pageSetup orientation="landscape" paperSize="9" scale="89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2026-04-02T04:28:32Z</dcterms:created>
  <dcterms:modified xmlns:dcterms="http://purl.org/dc/terms/" xmlns:xsi="http://www.w3.org/2001/XMLSchema-instance" xsi:type="dcterms:W3CDTF">2026-04-23T15:41:29Z</dcterms:modified>
  <cp:lastModifiedBy>pavan kumar jujjuru</cp:lastModifiedBy>
  <cp:revision>0</cp:revision>
  <cp:lastPrinted>2026-04-02T12:06:58Z</cp:lastPrinted>
</cp:coreProperties>
</file>